
<file path=[Content_Types].xml><?xml version="1.0" encoding="utf-8"?>
<Types xmlns="http://schemas.openxmlformats.org/package/2006/content-types">
  <Default Extension="bin" ContentType="application/vnd.ms-office.vbaProject"/>
  <Default Extension="gif" ContentType="image/gif"/>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slicers/slicer1.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ml.chartshap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mc:AlternateContent xmlns:mc="http://schemas.openxmlformats.org/markup-compatibility/2006">
    <mc:Choice Requires="x15">
      <x15ac:absPath xmlns:x15ac="http://schemas.microsoft.com/office/spreadsheetml/2010/11/ac" url="C:\Users\USER\Desktop\Keffi_Tech\ANALYZED DATA\EXCEL DATA ANALYSIS\Excel Github file\"/>
    </mc:Choice>
  </mc:AlternateContent>
  <xr:revisionPtr revIDLastSave="0" documentId="8_{B2675A30-BA7F-44FB-9B79-185E378258DE}" xr6:coauthVersionLast="47" xr6:coauthVersionMax="47" xr10:uidLastSave="{00000000-0000-0000-0000-000000000000}"/>
  <bookViews>
    <workbookView xWindow="-110" yWindow="-110" windowWidth="19420" windowHeight="11020" activeTab="3" xr2:uid="{00000000-000D-0000-FFFF-FFFF00000000}"/>
  </bookViews>
  <sheets>
    <sheet name="Admissions" sheetId="1" r:id="rId1"/>
    <sheet name="Fact_Admission" sheetId="2" r:id="rId2"/>
    <sheet name="Analysis" sheetId="4" r:id="rId3"/>
    <sheet name="HA Dashboard" sheetId="6" r:id="rId4"/>
  </sheets>
  <definedNames>
    <definedName name="ExternalData_1" localSheetId="1" hidden="1">Fact_Admission!$A$1:$O$101</definedName>
    <definedName name="Slicer_Diagnosis">#N/A</definedName>
    <definedName name="Slicer_Gender">#N/A</definedName>
    <definedName name="Slicer_Hospital">#N/A</definedName>
    <definedName name="Slicer_Patient_Region">#N/A</definedName>
  </definedNames>
  <calcPr calcId="191029"/>
  <pivotCaches>
    <pivotCache cacheId="10" r:id="rId5"/>
  </pivotCaches>
  <extLst>
    <ext xmlns:x14="http://schemas.microsoft.com/office/spreadsheetml/2009/9/main" uri="{BBE1A952-AA13-448e-AADC-164F8A28A991}">
      <x14:slicerCaches>
        <x14:slicerCache r:id="rId6"/>
        <x14:slicerCache r:id="rId7"/>
        <x14:slicerCache r:id="rId8"/>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A12" i="4" l="1"/>
  <c r="Y12" i="4"/>
  <c r="U1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C5B9EBB-3B9A-4AEC-9558-E687A542A377}" keepAlive="1" name="Query - Fact_Admission" description="Connection to the 'Fact_Admission' query in the workbook." type="5" refreshedVersion="7" background="1" saveData="1">
    <dbPr connection="Provider=Microsoft.Mashup.OleDb.1;Data Source=$Workbook$;Location=Fact_Admission;Extended Properties=&quot;&quot;" command="SELECT * FROM [Fact_Admission]"/>
  </connection>
</connections>
</file>

<file path=xl/sharedStrings.xml><?xml version="1.0" encoding="utf-8"?>
<sst xmlns="http://schemas.openxmlformats.org/spreadsheetml/2006/main" count="1412" uniqueCount="152">
  <si>
    <t>Admission ID</t>
  </si>
  <si>
    <t>Hospital</t>
  </si>
  <si>
    <t>Patient Age</t>
  </si>
  <si>
    <t>Gender</t>
  </si>
  <si>
    <t>Diagnosis</t>
  </si>
  <si>
    <t>Admission Date</t>
  </si>
  <si>
    <t>Discharge Date</t>
  </si>
  <si>
    <t>LoS</t>
  </si>
  <si>
    <t>Patient Region</t>
  </si>
  <si>
    <t>A006</t>
  </si>
  <si>
    <t>UCLH</t>
  </si>
  <si>
    <t>M</t>
  </si>
  <si>
    <t>Diabetes</t>
  </si>
  <si>
    <t>London</t>
  </si>
  <si>
    <t>A007</t>
  </si>
  <si>
    <t>Stroke</t>
  </si>
  <si>
    <t>South East</t>
  </si>
  <si>
    <t>A009</t>
  </si>
  <si>
    <t>Heart Failure</t>
  </si>
  <si>
    <t>North West</t>
  </si>
  <si>
    <t>A0011</t>
  </si>
  <si>
    <t>F</t>
  </si>
  <si>
    <t>Pneumonia</t>
  </si>
  <si>
    <t>A0026</t>
  </si>
  <si>
    <t>Asthma</t>
  </si>
  <si>
    <t>Midlands</t>
  </si>
  <si>
    <t>A0050</t>
  </si>
  <si>
    <t>A0051</t>
  </si>
  <si>
    <t>A0058</t>
  </si>
  <si>
    <t>A0064</t>
  </si>
  <si>
    <t>COPD</t>
  </si>
  <si>
    <t>A0069</t>
  </si>
  <si>
    <t>A0071</t>
  </si>
  <si>
    <t>A0072</t>
  </si>
  <si>
    <t>A0075</t>
  </si>
  <si>
    <t>North Yorkshire</t>
  </si>
  <si>
    <t>A0078</t>
  </si>
  <si>
    <t>A0088</t>
  </si>
  <si>
    <t>A0090</t>
  </si>
  <si>
    <t>A0096</t>
  </si>
  <si>
    <t>A005</t>
  </si>
  <si>
    <t>St Mary’s Hospital</t>
  </si>
  <si>
    <t>A0010</t>
  </si>
  <si>
    <t>A0021</t>
  </si>
  <si>
    <t>A001</t>
  </si>
  <si>
    <t>St Mary’s</t>
  </si>
  <si>
    <t>A003</t>
  </si>
  <si>
    <t>A0014</t>
  </si>
  <si>
    <t>A0027</t>
  </si>
  <si>
    <t>A0033</t>
  </si>
  <si>
    <t>A0037</t>
  </si>
  <si>
    <t>A0038</t>
  </si>
  <si>
    <t>A0041</t>
  </si>
  <si>
    <t>A0059</t>
  </si>
  <si>
    <t>A0063</t>
  </si>
  <si>
    <t>A0067</t>
  </si>
  <si>
    <t>A0073</t>
  </si>
  <si>
    <t>A0083</t>
  </si>
  <si>
    <t>A0087</t>
  </si>
  <si>
    <t>A0091</t>
  </si>
  <si>
    <t>A0092</t>
  </si>
  <si>
    <t>A00100</t>
  </si>
  <si>
    <t>A004</t>
  </si>
  <si>
    <t>Royal Free</t>
  </si>
  <si>
    <t>A0015</t>
  </si>
  <si>
    <t>A0018</t>
  </si>
  <si>
    <t>A0019</t>
  </si>
  <si>
    <t>A0023</t>
  </si>
  <si>
    <t>A0031</t>
  </si>
  <si>
    <t>A0035</t>
  </si>
  <si>
    <t>A0047</t>
  </si>
  <si>
    <t>A0053</t>
  </si>
  <si>
    <t>A0065</t>
  </si>
  <si>
    <t>A0068</t>
  </si>
  <si>
    <t>A0077</t>
  </si>
  <si>
    <t>A0082</t>
  </si>
  <si>
    <t>A0097</t>
  </si>
  <si>
    <t>A0099</t>
  </si>
  <si>
    <t>A0017</t>
  </si>
  <si>
    <t>Manchester Royal</t>
  </si>
  <si>
    <t>A0020</t>
  </si>
  <si>
    <t>A0024</t>
  </si>
  <si>
    <t>A0025</t>
  </si>
  <si>
    <t>A0032</t>
  </si>
  <si>
    <t>A0046</t>
  </si>
  <si>
    <t>A0048</t>
  </si>
  <si>
    <t>A0049</t>
  </si>
  <si>
    <t>A0052</t>
  </si>
  <si>
    <t>A0055</t>
  </si>
  <si>
    <t>A0070</t>
  </si>
  <si>
    <t>A0079</t>
  </si>
  <si>
    <t>A0080</t>
  </si>
  <si>
    <t>A0095</t>
  </si>
  <si>
    <t>A002</t>
  </si>
  <si>
    <t>Leeds General</t>
  </si>
  <si>
    <t>A0012</t>
  </si>
  <si>
    <t>A0030</t>
  </si>
  <si>
    <t>A0045</t>
  </si>
  <si>
    <t>A0056</t>
  </si>
  <si>
    <t>A0057</t>
  </si>
  <si>
    <t>A0061</t>
  </si>
  <si>
    <t>A0074</t>
  </si>
  <si>
    <t>A0076</t>
  </si>
  <si>
    <t>A0081</t>
  </si>
  <si>
    <t>A0084</t>
  </si>
  <si>
    <t>A0085</t>
  </si>
  <si>
    <t>A0086</t>
  </si>
  <si>
    <t>A0089</t>
  </si>
  <si>
    <t>A0093</t>
  </si>
  <si>
    <t>A008</t>
  </si>
  <si>
    <t>King's College</t>
  </si>
  <si>
    <t>A0013</t>
  </si>
  <si>
    <t>A0016</t>
  </si>
  <si>
    <t>A0022</t>
  </si>
  <si>
    <t>A0028</t>
  </si>
  <si>
    <t>A0029</t>
  </si>
  <si>
    <t>A0034</t>
  </si>
  <si>
    <t>A0036</t>
  </si>
  <si>
    <t>A0039</t>
  </si>
  <si>
    <t>A0040</t>
  </si>
  <si>
    <t>A0042</t>
  </si>
  <si>
    <t>A0043</t>
  </si>
  <si>
    <t>A0044</t>
  </si>
  <si>
    <t>A0054</t>
  </si>
  <si>
    <t>A0060</t>
  </si>
  <si>
    <t>A0062</t>
  </si>
  <si>
    <t>A0066</t>
  </si>
  <si>
    <t>A0094</t>
  </si>
  <si>
    <t>A0098</t>
  </si>
  <si>
    <t>Age_Group</t>
  </si>
  <si>
    <t>Admission_Year</t>
  </si>
  <si>
    <t>Admission_Month</t>
  </si>
  <si>
    <t>Month_Number</t>
  </si>
  <si>
    <t>Admission_Quarter</t>
  </si>
  <si>
    <t>Los_Final</t>
  </si>
  <si>
    <t>Young Adult</t>
  </si>
  <si>
    <t>April</t>
  </si>
  <si>
    <t>Adult</t>
  </si>
  <si>
    <t>May</t>
  </si>
  <si>
    <t>Senior</t>
  </si>
  <si>
    <t>Child</t>
  </si>
  <si>
    <t>Stay Category</t>
  </si>
  <si>
    <t>Medium Stay</t>
  </si>
  <si>
    <t>Long Stay</t>
  </si>
  <si>
    <t>Short Stay</t>
  </si>
  <si>
    <t>Row Labels</t>
  </si>
  <si>
    <t>Grand Total</t>
  </si>
  <si>
    <t>St Marys</t>
  </si>
  <si>
    <t>Total Admissions</t>
  </si>
  <si>
    <t>Average of Los_Final</t>
  </si>
  <si>
    <t>Count of Admission ID</t>
  </si>
  <si>
    <t>Average of Patient 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</si>
</sst>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5">
    <font>
      <sz val="10"/>
      <color rgb="FF000000"/>
      <name val="Arial"/>
      <scheme val="minor"/>
    </font>
    <font>
      <sz val="11"/>
      <color rgb="FF000000"/>
      <name val="&quot;Aptos Narrow&quot;"/>
    </font>
    <font>
      <sz val="11"/>
      <color rgb="FF000000"/>
      <name val="Arial"/>
      <family val="2"/>
    </font>
    <font>
      <sz val="8"/>
      <name val="Arial"/>
      <family val="2"/>
      <scheme val="minor"/>
    </font>
    <font>
      <b/>
      <sz val="10"/>
      <color rgb="FF000000"/>
      <name val="Arial"/>
      <family val="2"/>
      <scheme val="minor"/>
    </font>
  </fonts>
  <fills count="3">
    <fill>
      <patternFill patternType="none"/>
    </fill>
    <fill>
      <patternFill patternType="gray125"/>
    </fill>
    <fill>
      <patternFill patternType="solid">
        <fgColor theme="5" tint="0.59999389629810485"/>
        <bgColor indexed="64"/>
      </patternFill>
    </fill>
  </fills>
  <borders count="1">
    <border>
      <left/>
      <right/>
      <top/>
      <bottom/>
      <diagonal/>
    </border>
  </borders>
  <cellStyleXfs count="1">
    <xf numFmtId="0" fontId="0" fillId="0" borderId="0"/>
  </cellStyleXfs>
  <cellXfs count="15">
    <xf numFmtId="0" fontId="0" fillId="0" borderId="0" xfId="0" applyFont="1" applyAlignment="1"/>
    <xf numFmtId="0" fontId="1" fillId="0" borderId="0" xfId="0" applyFont="1" applyAlignment="1"/>
    <xf numFmtId="0" fontId="2" fillId="0" borderId="0" xfId="0" applyFont="1" applyAlignment="1"/>
    <xf numFmtId="0" fontId="1" fillId="0" borderId="0" xfId="0" applyFont="1" applyAlignment="1">
      <alignment horizontal="right"/>
    </xf>
    <xf numFmtId="0" fontId="1" fillId="0" borderId="0" xfId="0" applyFont="1" applyAlignment="1"/>
    <xf numFmtId="0" fontId="0" fillId="0" borderId="0" xfId="0" applyNumberFormat="1" applyFont="1" applyAlignment="1"/>
    <xf numFmtId="14" fontId="0" fillId="0" borderId="0" xfId="0" applyNumberFormat="1" applyFont="1" applyAlignment="1"/>
    <xf numFmtId="0" fontId="0" fillId="0" borderId="0" xfId="0" pivotButton="1" applyFont="1" applyAlignment="1"/>
    <xf numFmtId="0" fontId="0" fillId="0" borderId="0" xfId="0" applyFont="1" applyAlignment="1">
      <alignment horizontal="left"/>
    </xf>
    <xf numFmtId="2" fontId="0" fillId="0" borderId="0" xfId="0" applyNumberFormat="1" applyFont="1" applyAlignment="1"/>
    <xf numFmtId="1" fontId="0" fillId="0" borderId="0" xfId="0" applyNumberFormat="1" applyFont="1" applyAlignment="1"/>
    <xf numFmtId="164" fontId="0" fillId="0" borderId="0" xfId="0" applyNumberFormat="1" applyFont="1" applyAlignment="1"/>
    <xf numFmtId="164" fontId="0" fillId="0" borderId="0" xfId="0" pivotButton="1" applyNumberFormat="1" applyFont="1" applyAlignment="1"/>
    <xf numFmtId="164" fontId="0" fillId="0" borderId="0" xfId="0" applyNumberFormat="1" applyFont="1" applyAlignment="1">
      <alignment horizontal="left"/>
    </xf>
    <xf numFmtId="0" fontId="4" fillId="2" borderId="0" xfId="0" applyFont="1" applyFill="1" applyAlignment="1"/>
  </cellXfs>
  <cellStyles count="1">
    <cellStyle name="Normal" xfId="0" builtinId="0"/>
  </cellStyles>
  <dxfs count="170">
    <dxf>
      <font>
        <b val="0"/>
        <i val="0"/>
        <strike val="0"/>
        <condense val="0"/>
        <extend val="0"/>
        <outline val="0"/>
        <shadow val="0"/>
        <u val="none"/>
        <vertAlign val="baseline"/>
        <sz val="10"/>
        <color rgb="FF000000"/>
        <name val="Arial"/>
        <scheme val="minor"/>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minor"/>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minor"/>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minor"/>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minor"/>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minor"/>
      </font>
      <numFmt numFmtId="19" formatCode="m/d/yyyy"/>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minor"/>
      </font>
      <numFmt numFmtId="19" formatCode="m/d/yyyy"/>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minor"/>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minor"/>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minor"/>
      </font>
      <numFmt numFmtId="0" formatCode="General"/>
      <alignment horizontal="general" vertical="bottom" textRotation="0" wrapText="0" indent="0" justifyLastLine="0" shrinkToFit="0" readingOrder="0"/>
    </dxf>
    <dxf>
      <numFmt numFmtId="164" formatCode="0.0"/>
    </dxf>
    <dxf>
      <numFmt numFmtId="164" formatCode="0.0"/>
    </dxf>
    <dxf>
      <numFmt numFmtId="2" formatCode="0.00"/>
    </dxf>
    <dxf>
      <numFmt numFmtId="164" formatCode="0.0"/>
    </dxf>
    <dxf>
      <numFmt numFmtId="164" formatCode="0.0"/>
    </dxf>
    <dxf>
      <numFmt numFmtId="2" formatCode="0.00"/>
    </dxf>
    <dxf>
      <numFmt numFmtId="164" formatCode="0.0"/>
    </dxf>
    <dxf>
      <numFmt numFmtId="164" formatCode="0.0"/>
    </dxf>
    <dxf>
      <numFmt numFmtId="2" formatCode="0.00"/>
    </dxf>
    <dxf>
      <numFmt numFmtId="2" formatCode="0.00"/>
    </dxf>
    <dxf>
      <numFmt numFmtId="2" formatCode="0.00"/>
    </dxf>
    <dxf>
      <numFmt numFmtId="2" formatCode="0.00"/>
    </dxf>
    <dxf>
      <numFmt numFmtId="1" formatCode="0"/>
    </dxf>
    <dxf>
      <numFmt numFmtId="1" formatCode="0"/>
    </dxf>
    <dxf>
      <numFmt numFmtId="1" formatCode="0"/>
    </dxf>
    <dxf>
      <numFmt numFmtId="164" formatCode="0.0"/>
    </dxf>
    <dxf>
      <numFmt numFmtId="164" formatCode="0.0"/>
    </dxf>
    <dxf>
      <numFmt numFmtId="2" formatCode="0.00"/>
    </dxf>
    <dxf>
      <numFmt numFmtId="164" formatCode="0.0"/>
    </dxf>
    <dxf>
      <numFmt numFmtId="164" formatCode="0.0"/>
    </dxf>
    <dxf>
      <numFmt numFmtId="2" formatCode="0.00"/>
    </dxf>
    <dxf>
      <numFmt numFmtId="164" formatCode="0.0"/>
    </dxf>
    <dxf>
      <numFmt numFmtId="164" formatCode="0.0"/>
    </dxf>
    <dxf>
      <numFmt numFmtId="2" formatCode="0.00"/>
    </dxf>
    <dxf>
      <numFmt numFmtId="164" formatCode="0.0"/>
    </dxf>
    <dxf>
      <numFmt numFmtId="164" formatCode="0.0"/>
    </dxf>
    <dxf>
      <numFmt numFmtId="2" formatCode="0.00"/>
    </dxf>
    <dxf>
      <numFmt numFmtId="1" formatCode="0"/>
    </dxf>
    <dxf>
      <numFmt numFmtId="1" formatCode="0"/>
    </dxf>
    <dxf>
      <numFmt numFmtId="1" formatCode="0"/>
    </dxf>
    <dxf>
      <numFmt numFmtId="2" formatCode="0.00"/>
    </dxf>
    <dxf>
      <numFmt numFmtId="2" formatCode="0.00"/>
    </dxf>
    <dxf>
      <numFmt numFmtId="2" formatCode="0.00"/>
    </dxf>
    <dxf>
      <numFmt numFmtId="164" formatCode="0.0"/>
    </dxf>
    <dxf>
      <numFmt numFmtId="164" formatCode="0.0"/>
    </dxf>
    <dxf>
      <numFmt numFmtId="2" formatCode="0.00"/>
    </dxf>
    <dxf>
      <numFmt numFmtId="164" formatCode="0.0"/>
    </dxf>
    <dxf>
      <numFmt numFmtId="164" formatCode="0.0"/>
    </dxf>
    <dxf>
      <numFmt numFmtId="2" formatCode="0.00"/>
    </dxf>
    <dxf>
      <numFmt numFmtId="164" formatCode="0.0"/>
    </dxf>
    <dxf>
      <numFmt numFmtId="164" formatCode="0.0"/>
    </dxf>
    <dxf>
      <numFmt numFmtId="2" formatCode="0.00"/>
    </dxf>
    <dxf>
      <numFmt numFmtId="164" formatCode="0.0"/>
    </dxf>
    <dxf>
      <numFmt numFmtId="164" formatCode="0.0"/>
    </dxf>
    <dxf>
      <numFmt numFmtId="2" formatCode="0.00"/>
    </dxf>
    <dxf>
      <numFmt numFmtId="164" formatCode="0.0"/>
    </dxf>
    <dxf>
      <numFmt numFmtId="164" formatCode="0.0"/>
    </dxf>
    <dxf>
      <numFmt numFmtId="2" formatCode="0.00"/>
    </dxf>
    <dxf>
      <numFmt numFmtId="1" formatCode="0"/>
    </dxf>
    <dxf>
      <numFmt numFmtId="1" formatCode="0"/>
    </dxf>
    <dxf>
      <numFmt numFmtId="1" formatCode="0"/>
    </dxf>
    <dxf>
      <numFmt numFmtId="2" formatCode="0.00"/>
    </dxf>
    <dxf>
      <numFmt numFmtId="2" formatCode="0.00"/>
    </dxf>
    <dxf>
      <numFmt numFmtId="2" formatCode="0.00"/>
    </dxf>
    <dxf>
      <numFmt numFmtId="164" formatCode="0.0"/>
    </dxf>
    <dxf>
      <numFmt numFmtId="164" formatCode="0.0"/>
    </dxf>
    <dxf>
      <numFmt numFmtId="2" formatCode="0.00"/>
    </dxf>
    <dxf>
      <numFmt numFmtId="164" formatCode="0.0"/>
    </dxf>
    <dxf>
      <numFmt numFmtId="164" formatCode="0.0"/>
    </dxf>
    <dxf>
      <numFmt numFmtId="2" formatCode="0.00"/>
    </dxf>
    <dxf>
      <numFmt numFmtId="164" formatCode="0.0"/>
    </dxf>
    <dxf>
      <numFmt numFmtId="164" formatCode="0.0"/>
    </dxf>
    <dxf>
      <numFmt numFmtId="2" formatCode="0.00"/>
    </dxf>
    <dxf>
      <numFmt numFmtId="164" formatCode="0.0"/>
    </dxf>
    <dxf>
      <numFmt numFmtId="164" formatCode="0.0"/>
    </dxf>
    <dxf>
      <numFmt numFmtId="2" formatCode="0.00"/>
    </dxf>
    <dxf>
      <numFmt numFmtId="1" formatCode="0"/>
    </dxf>
    <dxf>
      <numFmt numFmtId="1" formatCode="0"/>
    </dxf>
    <dxf>
      <numFmt numFmtId="1" formatCode="0"/>
    </dxf>
    <dxf>
      <numFmt numFmtId="2" formatCode="0.00"/>
    </dxf>
    <dxf>
      <numFmt numFmtId="2" formatCode="0.00"/>
    </dxf>
    <dxf>
      <numFmt numFmtId="2" formatCode="0.00"/>
    </dxf>
    <dxf>
      <numFmt numFmtId="164" formatCode="0.0"/>
    </dxf>
    <dxf>
      <numFmt numFmtId="164" formatCode="0.0"/>
    </dxf>
    <dxf>
      <numFmt numFmtId="2" formatCode="0.00"/>
    </dxf>
    <dxf>
      <numFmt numFmtId="164" formatCode="0.0"/>
    </dxf>
    <dxf>
      <numFmt numFmtId="164" formatCode="0.0"/>
    </dxf>
    <dxf>
      <numFmt numFmtId="2" formatCode="0.00"/>
    </dxf>
    <dxf>
      <numFmt numFmtId="164" formatCode="0.0"/>
    </dxf>
    <dxf>
      <numFmt numFmtId="164" formatCode="0.0"/>
    </dxf>
    <dxf>
      <numFmt numFmtId="2" formatCode="0.00"/>
    </dxf>
    <dxf>
      <numFmt numFmtId="164" formatCode="0.0"/>
    </dxf>
    <dxf>
      <numFmt numFmtId="164" formatCode="0.0"/>
    </dxf>
    <dxf>
      <numFmt numFmtId="2" formatCode="0.00"/>
    </dxf>
    <dxf>
      <numFmt numFmtId="164" formatCode="0.0"/>
    </dxf>
    <dxf>
      <numFmt numFmtId="164" formatCode="0.0"/>
    </dxf>
    <dxf>
      <numFmt numFmtId="2" formatCode="0.00"/>
    </dxf>
    <dxf>
      <numFmt numFmtId="1" formatCode="0"/>
    </dxf>
    <dxf>
      <numFmt numFmtId="1" formatCode="0"/>
    </dxf>
    <dxf>
      <numFmt numFmtId="1" formatCode="0"/>
    </dxf>
    <dxf>
      <numFmt numFmtId="2" formatCode="0.00"/>
    </dxf>
    <dxf>
      <numFmt numFmtId="2" formatCode="0.00"/>
    </dxf>
    <dxf>
      <numFmt numFmtId="2" formatCode="0.00"/>
    </dxf>
    <dxf>
      <numFmt numFmtId="164" formatCode="0.0"/>
    </dxf>
    <dxf>
      <numFmt numFmtId="164" formatCode="0.0"/>
    </dxf>
    <dxf>
      <numFmt numFmtId="2" formatCode="0.00"/>
    </dxf>
    <dxf>
      <numFmt numFmtId="164" formatCode="0.0"/>
    </dxf>
    <dxf>
      <numFmt numFmtId="164" formatCode="0.0"/>
    </dxf>
    <dxf>
      <numFmt numFmtId="2" formatCode="0.00"/>
    </dxf>
    <dxf>
      <numFmt numFmtId="164" formatCode="0.0"/>
    </dxf>
    <dxf>
      <numFmt numFmtId="164" formatCode="0.0"/>
    </dxf>
    <dxf>
      <numFmt numFmtId="2" formatCode="0.00"/>
    </dxf>
    <dxf>
      <numFmt numFmtId="164" formatCode="0.0"/>
    </dxf>
    <dxf>
      <numFmt numFmtId="164" formatCode="0.0"/>
    </dxf>
    <dxf>
      <numFmt numFmtId="2" formatCode="0.00"/>
    </dxf>
    <dxf>
      <numFmt numFmtId="164" formatCode="0.0"/>
    </dxf>
    <dxf>
      <numFmt numFmtId="164" formatCode="0.0"/>
    </dxf>
    <dxf>
      <numFmt numFmtId="2" formatCode="0.00"/>
    </dxf>
    <dxf>
      <numFmt numFmtId="1" formatCode="0"/>
    </dxf>
    <dxf>
      <numFmt numFmtId="1" formatCode="0"/>
    </dxf>
    <dxf>
      <numFmt numFmtId="1" formatCode="0"/>
    </dxf>
    <dxf>
      <numFmt numFmtId="2" formatCode="0.00"/>
    </dxf>
    <dxf>
      <numFmt numFmtId="2" formatCode="0.00"/>
    </dxf>
    <dxf>
      <numFmt numFmtId="2" formatCode="0.00"/>
    </dxf>
    <dxf>
      <numFmt numFmtId="164" formatCode="0.0"/>
    </dxf>
    <dxf>
      <numFmt numFmtId="164" formatCode="0.0"/>
    </dxf>
    <dxf>
      <numFmt numFmtId="2" formatCode="0.00"/>
    </dxf>
    <dxf>
      <numFmt numFmtId="164" formatCode="0.0"/>
    </dxf>
    <dxf>
      <numFmt numFmtId="164" formatCode="0.0"/>
    </dxf>
    <dxf>
      <numFmt numFmtId="2" formatCode="0.00"/>
    </dxf>
    <dxf>
      <numFmt numFmtId="164" formatCode="0.0"/>
    </dxf>
    <dxf>
      <numFmt numFmtId="164" formatCode="0.0"/>
    </dxf>
    <dxf>
      <numFmt numFmtId="2" formatCode="0.00"/>
    </dxf>
    <dxf>
      <numFmt numFmtId="164" formatCode="0.0"/>
    </dxf>
    <dxf>
      <numFmt numFmtId="164" formatCode="0.0"/>
    </dxf>
    <dxf>
      <numFmt numFmtId="2" formatCode="0.00"/>
    </dxf>
    <dxf>
      <numFmt numFmtId="2" formatCode="0.00"/>
    </dxf>
    <dxf>
      <numFmt numFmtId="164" formatCode="0.0"/>
    </dxf>
    <dxf>
      <numFmt numFmtId="164" formatCode="0.0"/>
    </dxf>
    <dxf>
      <numFmt numFmtId="2" formatCode="0.00"/>
    </dxf>
    <dxf>
      <numFmt numFmtId="164" formatCode="0.0"/>
    </dxf>
    <dxf>
      <numFmt numFmtId="164" formatCode="0.0"/>
    </dxf>
    <dxf>
      <numFmt numFmtId="1" formatCode="0"/>
    </dxf>
    <dxf>
      <numFmt numFmtId="1" formatCode="0"/>
    </dxf>
    <dxf>
      <numFmt numFmtId="1" formatCode="0"/>
    </dxf>
    <dxf>
      <numFmt numFmtId="2" formatCode="0.00"/>
    </dxf>
    <dxf>
      <numFmt numFmtId="2" formatCode="0.00"/>
    </dxf>
    <dxf>
      <numFmt numFmtId="2" formatCode="0.00"/>
    </dxf>
    <dxf>
      <numFmt numFmtId="2" formatCode="0.00"/>
    </dxf>
    <dxf>
      <numFmt numFmtId="164" formatCode="0.0"/>
    </dxf>
    <dxf>
      <numFmt numFmtId="164" formatCode="0.0"/>
    </dxf>
    <dxf>
      <numFmt numFmtId="2" formatCode="0.00"/>
    </dxf>
    <dxf>
      <numFmt numFmtId="164" formatCode="0.0"/>
    </dxf>
    <dxf>
      <numFmt numFmtId="164" formatCode="0.0"/>
    </dxf>
    <dxf>
      <numFmt numFmtId="2" formatCode="0.00"/>
    </dxf>
    <dxf>
      <numFmt numFmtId="164" formatCode="0.0"/>
    </dxf>
    <dxf>
      <numFmt numFmtId="164" formatCode="0.0"/>
    </dxf>
    <dxf>
      <font>
        <b/>
        <family val="2"/>
      </font>
      <fill>
        <patternFill patternType="solid">
          <fgColor indexed="64"/>
          <bgColor theme="5" tint="0.59999389629810485"/>
        </patternFill>
      </fill>
    </dxf>
    <dxf>
      <font>
        <b val="0"/>
        <i val="0"/>
        <strike val="0"/>
        <condense val="0"/>
        <extend val="0"/>
        <outline val="0"/>
        <shadow val="0"/>
        <u val="none"/>
        <vertAlign val="baseline"/>
        <sz val="11"/>
        <color rgb="FF000000"/>
        <name val="&quot;Aptos Narrow&quot;"/>
        <scheme val="none"/>
      </font>
      <alignment horizontal="general" vertical="bottom" textRotation="0" wrapText="0" indent="0" justifyLastLine="0" shrinkToFit="0" readingOrder="0"/>
    </dxf>
    <dxf>
      <font>
        <b val="0"/>
        <i val="0"/>
        <strike val="0"/>
        <condense val="0"/>
        <extend val="0"/>
        <outline val="0"/>
        <shadow val="0"/>
        <u val="none"/>
        <vertAlign val="baseline"/>
        <sz val="11"/>
        <color rgb="FF000000"/>
        <name val="&quot;Aptos Narrow&quot;"/>
        <scheme val="none"/>
      </font>
      <alignment horizontal="right" vertical="bottom" textRotation="0" wrapText="0" indent="0" justifyLastLine="0" shrinkToFit="0" readingOrder="0"/>
    </dxf>
    <dxf>
      <font>
        <b val="0"/>
        <i val="0"/>
        <strike val="0"/>
        <condense val="0"/>
        <extend val="0"/>
        <outline val="0"/>
        <shadow val="0"/>
        <u val="none"/>
        <vertAlign val="baseline"/>
        <sz val="11"/>
        <color rgb="FF000000"/>
        <name val="&quot;Aptos Narrow&quot;"/>
        <scheme val="none"/>
      </font>
      <alignment horizontal="right" vertical="bottom" textRotation="0" wrapText="0" indent="0" justifyLastLine="0" shrinkToFit="0" readingOrder="0"/>
    </dxf>
    <dxf>
      <font>
        <b val="0"/>
        <i val="0"/>
        <strike val="0"/>
        <condense val="0"/>
        <extend val="0"/>
        <outline val="0"/>
        <shadow val="0"/>
        <u val="none"/>
        <vertAlign val="baseline"/>
        <sz val="11"/>
        <color rgb="FF000000"/>
        <name val="&quot;Aptos Narrow&quot;"/>
        <scheme val="none"/>
      </font>
      <alignment horizontal="right" vertical="bottom" textRotation="0" wrapText="0" indent="0" justifyLastLine="0" shrinkToFit="0" readingOrder="0"/>
    </dxf>
    <dxf>
      <font>
        <b val="0"/>
        <i val="0"/>
        <strike val="0"/>
        <condense val="0"/>
        <extend val="0"/>
        <outline val="0"/>
        <shadow val="0"/>
        <u val="none"/>
        <vertAlign val="baseline"/>
        <sz val="11"/>
        <color rgb="FF000000"/>
        <name val="&quot;Aptos Narrow&quot;"/>
        <scheme val="none"/>
      </font>
      <alignment horizontal="general" vertical="bottom" textRotation="0" wrapText="0" indent="0" justifyLastLine="0" shrinkToFit="0" readingOrder="0"/>
    </dxf>
    <dxf>
      <font>
        <b val="0"/>
        <i val="0"/>
        <strike val="0"/>
        <condense val="0"/>
        <extend val="0"/>
        <outline val="0"/>
        <shadow val="0"/>
        <u val="none"/>
        <vertAlign val="baseline"/>
        <sz val="11"/>
        <color rgb="FF000000"/>
        <name val="&quot;Aptos Narrow&quot;"/>
        <scheme val="none"/>
      </font>
      <alignment horizontal="general" vertical="bottom" textRotation="0" wrapText="0" indent="0" justifyLastLine="0" shrinkToFit="0" readingOrder="0"/>
    </dxf>
    <dxf>
      <font>
        <b val="0"/>
        <i val="0"/>
        <strike val="0"/>
        <condense val="0"/>
        <extend val="0"/>
        <outline val="0"/>
        <shadow val="0"/>
        <u val="none"/>
        <vertAlign val="baseline"/>
        <sz val="11"/>
        <color rgb="FF000000"/>
        <name val="&quot;Aptos Narrow&quot;"/>
        <scheme val="none"/>
      </font>
      <alignment horizontal="right" vertical="bottom" textRotation="0" wrapText="0" indent="0" justifyLastLine="0" shrinkToFit="0" readingOrder="0"/>
    </dxf>
    <dxf>
      <font>
        <b val="0"/>
        <i val="0"/>
        <strike val="0"/>
        <condense val="0"/>
        <extend val="0"/>
        <outline val="0"/>
        <shadow val="0"/>
        <u val="none"/>
        <vertAlign val="baseline"/>
        <sz val="11"/>
        <color rgb="FF000000"/>
        <name val="&quot;Aptos Narrow&quot;"/>
        <scheme val="none"/>
      </font>
      <alignment horizontal="general" vertical="bottom" textRotation="0" wrapText="0" indent="0" justifyLastLine="0" shrinkToFit="0" readingOrder="0"/>
    </dxf>
    <dxf>
      <font>
        <b val="0"/>
        <i val="0"/>
        <strike val="0"/>
        <condense val="0"/>
        <extend val="0"/>
        <outline val="0"/>
        <shadow val="0"/>
        <u val="none"/>
        <vertAlign val="baseline"/>
        <sz val="11"/>
        <color rgb="FF000000"/>
        <name val="&quot;Aptos Narrow&quot;"/>
        <scheme val="none"/>
      </font>
      <alignment horizontal="general" vertical="bottom" textRotation="0" wrapText="0" indent="0" justifyLastLine="0" shrinkToFit="0" readingOrder="0"/>
    </dxf>
    <dxf>
      <font>
        <b val="0"/>
        <i val="0"/>
        <strike val="0"/>
        <condense val="0"/>
        <extend val="0"/>
        <outline val="0"/>
        <shadow val="0"/>
        <u val="none"/>
        <vertAlign val="baseline"/>
        <sz val="11"/>
        <color rgb="FF000000"/>
        <name val="&quot;Aptos Narrow&quot;"/>
        <scheme val="none"/>
      </font>
      <alignment horizontal="right" vertical="bottom" textRotation="0" wrapText="0" indent="0" justifyLastLine="0" shrinkToFit="0" readingOrder="0"/>
    </dxf>
    <dxf>
      <font>
        <b val="0"/>
        <i val="0"/>
        <strike val="0"/>
        <condense val="0"/>
        <extend val="0"/>
        <outline val="0"/>
        <shadow val="0"/>
        <u val="none"/>
        <vertAlign val="baseline"/>
        <sz val="11"/>
        <color rgb="FF000000"/>
        <name val="&quot;Aptos Narrow&quot;"/>
        <scheme val="none"/>
      </font>
      <alignment horizontal="general" vertical="bottom" textRotation="0" wrapText="0" indent="0" justifyLastLine="0" shrinkToFit="0" readingOrder="0"/>
    </dxf>
    <dxf>
      <border diagonalUp="0" diagonalDown="0">
        <left/>
        <right/>
        <top/>
        <bottom/>
        <vertical/>
        <horizontal/>
      </border>
    </dxf>
  </dxfs>
  <tableStyles count="2" defaultTableStyle="TableStyleMedium2" defaultPivotStyle="PivotStyleLight16">
    <tableStyle name="Slicer Style 1" pivot="0" table="0" count="0" xr9:uid="{34457B3D-E9FA-45E5-BDB1-B3590B76DEF4}"/>
    <tableStyle name="Slicer Style 2" pivot="0" table="0" count="1" xr9:uid="{372A6EAE-EED5-4832-9E49-8E86F177BF43}">
      <tableStyleElement type="wholeTable" dxfId="169"/>
    </tableStyle>
  </tableStyles>
  <colors>
    <mruColors>
      <color rgb="FF3298A0"/>
      <color rgb="FF327674"/>
      <color rgb="FF001642"/>
      <color rgb="FF01000C"/>
    </mruColors>
  </color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tyles" Target="styles.xml"/><Relationship Id="rId17" Type="http://schemas.microsoft.com/office/2017/10/relationships/person" Target="persons/perso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onnections" Target="connections.xml"/><Relationship Id="rId5" Type="http://schemas.openxmlformats.org/officeDocument/2006/relationships/pivotCacheDefinition" Target="pivotCache/pivotCacheDefinition1.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[Healthcare_Admissions_Dataset_Analytics.xlsm]Analysis!PivotTable1</c:name>
    <c:fmtId val="18"/>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Analysis!$E$3</c:f>
              <c:strCache>
                <c:ptCount val="1"/>
                <c:pt idx="0">
                  <c:v>Total</c:v>
                </c:pt>
              </c:strCache>
            </c:strRef>
          </c:tx>
          <c:spPr>
            <a:solidFill>
              <a:schemeClr val="accent1"/>
            </a:solidFill>
            <a:ln>
              <a:noFill/>
            </a:ln>
            <a:effectLst/>
          </c:spPr>
          <c:invertIfNegative val="0"/>
          <c:cat>
            <c:strRef>
              <c:f>Analysis!$D$4:$D$10</c:f>
              <c:strCache>
                <c:ptCount val="6"/>
                <c:pt idx="0">
                  <c:v>Heart Failure</c:v>
                </c:pt>
                <c:pt idx="1">
                  <c:v>Pneumonia</c:v>
                </c:pt>
                <c:pt idx="2">
                  <c:v>Asthma</c:v>
                </c:pt>
                <c:pt idx="3">
                  <c:v>COPD</c:v>
                </c:pt>
                <c:pt idx="4">
                  <c:v>Diabetes</c:v>
                </c:pt>
                <c:pt idx="5">
                  <c:v>Stroke</c:v>
                </c:pt>
              </c:strCache>
            </c:strRef>
          </c:cat>
          <c:val>
            <c:numRef>
              <c:f>Analysis!$E$4:$E$10</c:f>
              <c:numCache>
                <c:formatCode>General</c:formatCode>
                <c:ptCount val="6"/>
                <c:pt idx="0">
                  <c:v>12</c:v>
                </c:pt>
                <c:pt idx="1">
                  <c:v>15</c:v>
                </c:pt>
                <c:pt idx="2">
                  <c:v>16</c:v>
                </c:pt>
                <c:pt idx="3">
                  <c:v>18</c:v>
                </c:pt>
                <c:pt idx="4">
                  <c:v>19</c:v>
                </c:pt>
                <c:pt idx="5">
                  <c:v>20</c:v>
                </c:pt>
              </c:numCache>
            </c:numRef>
          </c:val>
          <c:extLst>
            <c:ext xmlns:c16="http://schemas.microsoft.com/office/drawing/2014/chart" uri="{C3380CC4-5D6E-409C-BE32-E72D297353CC}">
              <c16:uniqueId val="{00000000-DFF4-4EB8-A169-E4F948B565BD}"/>
            </c:ext>
          </c:extLst>
        </c:ser>
        <c:dLbls>
          <c:showLegendKey val="0"/>
          <c:showVal val="0"/>
          <c:showCatName val="0"/>
          <c:showSerName val="0"/>
          <c:showPercent val="0"/>
          <c:showBubbleSize val="0"/>
        </c:dLbls>
        <c:gapWidth val="182"/>
        <c:axId val="145857792"/>
        <c:axId val="145854048"/>
      </c:barChart>
      <c:catAx>
        <c:axId val="1458577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854048"/>
        <c:crosses val="autoZero"/>
        <c:auto val="1"/>
        <c:lblAlgn val="ctr"/>
        <c:lblOffset val="100"/>
        <c:noMultiLvlLbl val="0"/>
      </c:catAx>
      <c:valAx>
        <c:axId val="1458540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8577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[Healthcare_Admissions_Dataset_Analytics.xlsm]Analysis!PivotTable2</c:name>
    <c:fmtId val="25"/>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Analysis!$H$3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Analysis!$G$4:$G$9</c:f>
              <c:strCache>
                <c:ptCount val="5"/>
                <c:pt idx="0">
                  <c:v>London</c:v>
                </c:pt>
                <c:pt idx="1">
                  <c:v>South East</c:v>
                </c:pt>
                <c:pt idx="2">
                  <c:v>Midlands</c:v>
                </c:pt>
                <c:pt idx="3">
                  <c:v>North Yorkshire</c:v>
                </c:pt>
                <c:pt idx="4">
                  <c:v>North West</c:v>
                </c:pt>
              </c:strCache>
            </c:strRef>
          </c:cat>
          <c:val>
            <c:numRef>
              <c:f>Analysis!$H$4:$H$9</c:f>
              <c:numCache>
                <c:formatCode>General</c:formatCode>
                <c:ptCount val="5"/>
                <c:pt idx="0">
                  <c:v>15</c:v>
                </c:pt>
                <c:pt idx="1">
                  <c:v>19</c:v>
                </c:pt>
                <c:pt idx="2">
                  <c:v>20</c:v>
                </c:pt>
                <c:pt idx="3">
                  <c:v>21</c:v>
                </c:pt>
                <c:pt idx="4">
                  <c:v>25</c:v>
                </c:pt>
              </c:numCache>
            </c:numRef>
          </c:val>
          <c:extLst>
            <c:ext xmlns:c16="http://schemas.microsoft.com/office/drawing/2014/chart" uri="{C3380CC4-5D6E-409C-BE32-E72D297353CC}">
              <c16:uniqueId val="{00000000-649E-4377-9A56-C077A55A0599}"/>
            </c:ext>
          </c:extLst>
        </c:ser>
        <c:dLbls>
          <c:showLegendKey val="0"/>
          <c:showVal val="0"/>
          <c:showCatName val="0"/>
          <c:showSerName val="0"/>
          <c:showPercent val="0"/>
          <c:showBubbleSize val="0"/>
        </c:dLbls>
        <c:gapWidth val="115"/>
        <c:overlap val="-20"/>
        <c:axId val="145902304"/>
        <c:axId val="145902720"/>
      </c:barChart>
      <c:catAx>
        <c:axId val="145902304"/>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5902720"/>
        <c:crosses val="autoZero"/>
        <c:auto val="1"/>
        <c:lblAlgn val="ctr"/>
        <c:lblOffset val="100"/>
        <c:noMultiLvlLbl val="0"/>
      </c:catAx>
      <c:valAx>
        <c:axId val="145902720"/>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59023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[Healthcare_Admissions_Dataset_Analytics.xlsm]Analysis!PivotTable4</c:name>
    <c:fmtId val="4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doughnutChart>
        <c:varyColors val="1"/>
        <c:ser>
          <c:idx val="0"/>
          <c:order val="0"/>
          <c:tx>
            <c:strRef>
              <c:f>Analysis!$K$3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753-4C3D-81B5-5248C1F95C7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753-4C3D-81B5-5248C1F95C7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753-4C3D-81B5-5248C1F95C7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753-4C3D-81B5-5248C1F95C7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Analysis!$J$4:$J$8</c:f>
              <c:strCache>
                <c:ptCount val="4"/>
                <c:pt idx="0">
                  <c:v>Child</c:v>
                </c:pt>
                <c:pt idx="1">
                  <c:v>Young Adult</c:v>
                </c:pt>
                <c:pt idx="2">
                  <c:v>Adult</c:v>
                </c:pt>
                <c:pt idx="3">
                  <c:v>Senior</c:v>
                </c:pt>
              </c:strCache>
            </c:strRef>
          </c:cat>
          <c:val>
            <c:numRef>
              <c:f>Analysis!$K$4:$K$8</c:f>
              <c:numCache>
                <c:formatCode>General</c:formatCode>
                <c:ptCount val="4"/>
                <c:pt idx="0">
                  <c:v>8</c:v>
                </c:pt>
                <c:pt idx="1">
                  <c:v>25</c:v>
                </c:pt>
                <c:pt idx="2">
                  <c:v>26</c:v>
                </c:pt>
                <c:pt idx="3">
                  <c:v>41</c:v>
                </c:pt>
              </c:numCache>
            </c:numRef>
          </c:val>
          <c:extLst>
            <c:ext xmlns:c16="http://schemas.microsoft.com/office/drawing/2014/chart" uri="{C3380CC4-5D6E-409C-BE32-E72D297353CC}">
              <c16:uniqueId val="{00000000-D0A3-4DC5-9E24-F69931262AEC}"/>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[Healthcare_Admissions_Dataset_Analytics.xlsm]Analysis!PivotTable5</c:name>
    <c:fmtId val="51"/>
  </c:pivotSource>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4285F4"/>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Analysis!$N$3</c:f>
              <c:strCache>
                <c:ptCount val="1"/>
                <c:pt idx="0">
                  <c:v>Total</c:v>
                </c:pt>
              </c:strCache>
            </c:strRef>
          </c:tx>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s>
            <c:spPr>
              <a:solidFill>
                <a:srgbClr val="4285F4"/>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Analysis!$M$4:$M$6</c:f>
              <c:strCache>
                <c:ptCount val="2"/>
                <c:pt idx="0">
                  <c:v>April</c:v>
                </c:pt>
                <c:pt idx="1">
                  <c:v>May</c:v>
                </c:pt>
              </c:strCache>
            </c:strRef>
          </c:cat>
          <c:val>
            <c:numRef>
              <c:f>Analysis!$N$4:$N$6</c:f>
              <c:numCache>
                <c:formatCode>General</c:formatCode>
                <c:ptCount val="2"/>
                <c:pt idx="0">
                  <c:v>49</c:v>
                </c:pt>
                <c:pt idx="1">
                  <c:v>51</c:v>
                </c:pt>
              </c:numCache>
            </c:numRef>
          </c:val>
          <c:smooth val="0"/>
          <c:extLst>
            <c:ext xmlns:c16="http://schemas.microsoft.com/office/drawing/2014/chart" uri="{C3380CC4-5D6E-409C-BE32-E72D297353CC}">
              <c16:uniqueId val="{00000000-C174-42EA-98BD-96AC60C40DC2}"/>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691683920"/>
        <c:axId val="1691690160"/>
      </c:lineChart>
      <c:catAx>
        <c:axId val="169168392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30" baseline="0">
                <a:solidFill>
                  <a:schemeClr val="lt1"/>
                </a:solidFill>
                <a:latin typeface="+mn-lt"/>
                <a:ea typeface="+mn-ea"/>
                <a:cs typeface="+mn-cs"/>
              </a:defRPr>
            </a:pPr>
            <a:endParaRPr lang="en-US"/>
          </a:p>
        </c:txPr>
        <c:crossAx val="1691690160"/>
        <c:crosses val="autoZero"/>
        <c:auto val="1"/>
        <c:lblAlgn val="ctr"/>
        <c:lblOffset val="100"/>
        <c:noMultiLvlLbl val="0"/>
      </c:catAx>
      <c:valAx>
        <c:axId val="1691690160"/>
        <c:scaling>
          <c:orientation val="minMax"/>
        </c:scaling>
        <c:delete val="1"/>
        <c:axPos val="l"/>
        <c:numFmt formatCode="General" sourceLinked="1"/>
        <c:majorTickMark val="none"/>
        <c:minorTickMark val="none"/>
        <c:tickLblPos val="nextTo"/>
        <c:crossAx val="16916839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lt1">
          <a:lumMod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[Healthcare_Admissions_Dataset_Analytics.xlsm]Analysis!PivotTable6</c:name>
    <c:fmtId val="63"/>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Analysis!$Q$3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Analysis!$P$4:$P$10</c:f>
              <c:strCache>
                <c:ptCount val="6"/>
                <c:pt idx="0">
                  <c:v>COPD</c:v>
                </c:pt>
                <c:pt idx="1">
                  <c:v>Heart Failure</c:v>
                </c:pt>
                <c:pt idx="2">
                  <c:v>Pneumonia</c:v>
                </c:pt>
                <c:pt idx="3">
                  <c:v>Asthma</c:v>
                </c:pt>
                <c:pt idx="4">
                  <c:v>Stroke</c:v>
                </c:pt>
                <c:pt idx="5">
                  <c:v>Diabetes</c:v>
                </c:pt>
              </c:strCache>
            </c:strRef>
          </c:cat>
          <c:val>
            <c:numRef>
              <c:f>Analysis!$Q$4:$Q$10</c:f>
              <c:numCache>
                <c:formatCode>0.00</c:formatCode>
                <c:ptCount val="6"/>
                <c:pt idx="0">
                  <c:v>5.2222222222222223</c:v>
                </c:pt>
                <c:pt idx="1">
                  <c:v>7.166666666666667</c:v>
                </c:pt>
                <c:pt idx="2">
                  <c:v>7.8666666666666663</c:v>
                </c:pt>
                <c:pt idx="3">
                  <c:v>8.1875</c:v>
                </c:pt>
                <c:pt idx="4">
                  <c:v>8.4499999999999993</c:v>
                </c:pt>
                <c:pt idx="5">
                  <c:v>8.526315789473685</c:v>
                </c:pt>
              </c:numCache>
            </c:numRef>
          </c:val>
          <c:extLst>
            <c:ext xmlns:c16="http://schemas.microsoft.com/office/drawing/2014/chart" uri="{C3380CC4-5D6E-409C-BE32-E72D297353CC}">
              <c16:uniqueId val="{00000000-7486-4512-A11C-78E015972323}"/>
            </c:ext>
          </c:extLst>
        </c:ser>
        <c:dLbls>
          <c:dLblPos val="outEnd"/>
          <c:showLegendKey val="0"/>
          <c:showVal val="1"/>
          <c:showCatName val="0"/>
          <c:showSerName val="0"/>
          <c:showPercent val="0"/>
          <c:showBubbleSize val="0"/>
        </c:dLbls>
        <c:gapWidth val="115"/>
        <c:overlap val="-20"/>
        <c:axId val="1691695568"/>
        <c:axId val="1691698896"/>
      </c:barChart>
      <c:catAx>
        <c:axId val="1691695568"/>
        <c:scaling>
          <c:orientation val="minMax"/>
        </c:scaling>
        <c:delete val="0"/>
        <c:axPos val="l"/>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91698896"/>
        <c:crosses val="autoZero"/>
        <c:auto val="1"/>
        <c:lblAlgn val="ctr"/>
        <c:lblOffset val="100"/>
        <c:noMultiLvlLbl val="0"/>
      </c:catAx>
      <c:valAx>
        <c:axId val="1691698896"/>
        <c:scaling>
          <c:orientation val="minMax"/>
        </c:scaling>
        <c:delete val="0"/>
        <c:axPos val="b"/>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9169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[Healthcare_Admissions_Dataset_Analytics.xlsm]Analysis!PivotTable3</c:name>
    <c:fmtId val="1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Analysis!$B$3</c:f>
              <c:strCache>
                <c:ptCount val="1"/>
                <c:pt idx="0">
                  <c:v>Total</c:v>
                </c:pt>
              </c:strCache>
            </c:strRef>
          </c:tx>
          <c:spPr>
            <a:solidFill>
              <a:srgbClr val="00B0F0"/>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Analysis!$A$4:$A$10</c:f>
              <c:strCache>
                <c:ptCount val="6"/>
                <c:pt idx="0">
                  <c:v>Manchester Royal</c:v>
                </c:pt>
                <c:pt idx="1">
                  <c:v>Royal Free</c:v>
                </c:pt>
                <c:pt idx="2">
                  <c:v>Leeds General</c:v>
                </c:pt>
                <c:pt idx="3">
                  <c:v>UCLH</c:v>
                </c:pt>
                <c:pt idx="4">
                  <c:v>King's College</c:v>
                </c:pt>
                <c:pt idx="5">
                  <c:v>St Marys</c:v>
                </c:pt>
              </c:strCache>
            </c:strRef>
          </c:cat>
          <c:val>
            <c:numRef>
              <c:f>Analysis!$B$4:$B$10</c:f>
              <c:numCache>
                <c:formatCode>General</c:formatCode>
                <c:ptCount val="6"/>
                <c:pt idx="0">
                  <c:v>14</c:v>
                </c:pt>
                <c:pt idx="1">
                  <c:v>15</c:v>
                </c:pt>
                <c:pt idx="2">
                  <c:v>15</c:v>
                </c:pt>
                <c:pt idx="3">
                  <c:v>17</c:v>
                </c:pt>
                <c:pt idx="4">
                  <c:v>19</c:v>
                </c:pt>
                <c:pt idx="5">
                  <c:v>20</c:v>
                </c:pt>
              </c:numCache>
            </c:numRef>
          </c:val>
          <c:extLst>
            <c:ext xmlns:c16="http://schemas.microsoft.com/office/drawing/2014/chart" uri="{C3380CC4-5D6E-409C-BE32-E72D297353CC}">
              <c16:uniqueId val="{00000000-E9AF-482C-98A9-9DD91B017AA3}"/>
            </c:ext>
          </c:extLst>
        </c:ser>
        <c:dLbls>
          <c:showLegendKey val="0"/>
          <c:showVal val="0"/>
          <c:showCatName val="0"/>
          <c:showSerName val="0"/>
          <c:showPercent val="0"/>
          <c:showBubbleSize val="0"/>
        </c:dLbls>
        <c:gapWidth val="115"/>
        <c:axId val="804411439"/>
        <c:axId val="804409775"/>
      </c:barChart>
      <c:catAx>
        <c:axId val="804411439"/>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04409775"/>
        <c:crosses val="autoZero"/>
        <c:auto val="0"/>
        <c:lblAlgn val="ctr"/>
        <c:lblOffset val="100"/>
        <c:noMultiLvlLbl val="0"/>
      </c:catAx>
      <c:valAx>
        <c:axId val="80440977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044114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[Healthcare_Admissions_Dataset_Analytics.xlsm]Analysis!PivotTable2</c:name>
    <c:fmtId val="27"/>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0B0F0"/>
          </a:solidFill>
          <a:ln>
            <a:noFill/>
          </a:ln>
          <a:effectLst>
            <a:outerShdw blurRad="57150" dist="19050" dir="5400000" algn="ctr" rotWithShape="0">
              <a:srgbClr val="000000">
                <a:alpha val="63000"/>
              </a:srgbClr>
            </a:outerShdw>
          </a:effectLst>
        </c:spPr>
      </c:pivotFmt>
    </c:pivotFmts>
    <c:plotArea>
      <c:layout/>
      <c:barChart>
        <c:barDir val="bar"/>
        <c:grouping val="stacked"/>
        <c:varyColors val="0"/>
        <c:ser>
          <c:idx val="0"/>
          <c:order val="0"/>
          <c:tx>
            <c:strRef>
              <c:f>Analysis!$H$3</c:f>
              <c:strCache>
                <c:ptCount val="1"/>
                <c:pt idx="0">
                  <c:v>Total</c:v>
                </c:pt>
              </c:strCache>
            </c:strRef>
          </c:tx>
          <c:spPr>
            <a:solidFill>
              <a:srgbClr val="00B0F0"/>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Analysis!$G$4:$G$9</c:f>
              <c:strCache>
                <c:ptCount val="5"/>
                <c:pt idx="0">
                  <c:v>London</c:v>
                </c:pt>
                <c:pt idx="1">
                  <c:v>South East</c:v>
                </c:pt>
                <c:pt idx="2">
                  <c:v>Midlands</c:v>
                </c:pt>
                <c:pt idx="3">
                  <c:v>North Yorkshire</c:v>
                </c:pt>
                <c:pt idx="4">
                  <c:v>North West</c:v>
                </c:pt>
              </c:strCache>
            </c:strRef>
          </c:cat>
          <c:val>
            <c:numRef>
              <c:f>Analysis!$H$4:$H$9</c:f>
              <c:numCache>
                <c:formatCode>General</c:formatCode>
                <c:ptCount val="5"/>
                <c:pt idx="0">
                  <c:v>15</c:v>
                </c:pt>
                <c:pt idx="1">
                  <c:v>19</c:v>
                </c:pt>
                <c:pt idx="2">
                  <c:v>20</c:v>
                </c:pt>
                <c:pt idx="3">
                  <c:v>21</c:v>
                </c:pt>
                <c:pt idx="4">
                  <c:v>25</c:v>
                </c:pt>
              </c:numCache>
            </c:numRef>
          </c:val>
          <c:extLst>
            <c:ext xmlns:c16="http://schemas.microsoft.com/office/drawing/2014/chart" uri="{C3380CC4-5D6E-409C-BE32-E72D297353CC}">
              <c16:uniqueId val="{00000000-E5BF-4985-9481-DCFF2C0EEF06}"/>
            </c:ext>
          </c:extLst>
        </c:ser>
        <c:dLbls>
          <c:dLblPos val="ctr"/>
          <c:showLegendKey val="0"/>
          <c:showVal val="1"/>
          <c:showCatName val="0"/>
          <c:showSerName val="0"/>
          <c:showPercent val="0"/>
          <c:showBubbleSize val="0"/>
        </c:dLbls>
        <c:gapWidth val="150"/>
        <c:overlap val="100"/>
        <c:axId val="145902304"/>
        <c:axId val="145902720"/>
      </c:barChart>
      <c:catAx>
        <c:axId val="145902304"/>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45902720"/>
        <c:crosses val="autoZero"/>
        <c:auto val="1"/>
        <c:lblAlgn val="ctr"/>
        <c:lblOffset val="100"/>
        <c:noMultiLvlLbl val="0"/>
      </c:catAx>
      <c:valAx>
        <c:axId val="145902720"/>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45902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[Healthcare_Admissions_Dataset_Analytics.xlsm]Analysis!PivotTable4</c:name>
    <c:fmtId val="4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lumMod val="20000"/>
              <a:lumOff val="80000"/>
            </a:schemeClr>
          </a:solidFill>
          <a:ln w="19050">
            <a:noFill/>
          </a:ln>
          <a:effectLst/>
        </c:spPr>
      </c:pivotFmt>
      <c:pivotFmt>
        <c:idx val="8"/>
        <c:spPr>
          <a:solidFill>
            <a:srgbClr val="00B0F0"/>
          </a:solidFill>
          <a:ln w="19050">
            <a:noFill/>
          </a:ln>
          <a:effectLst/>
        </c:spPr>
      </c:pivotFmt>
      <c:pivotFmt>
        <c:idx val="9"/>
        <c:spPr>
          <a:solidFill>
            <a:schemeClr val="accent6">
              <a:lumMod val="60000"/>
              <a:lumOff val="40000"/>
            </a:schemeClr>
          </a:solidFill>
          <a:ln w="19050">
            <a:noFill/>
          </a:ln>
          <a:effectLst/>
        </c:spPr>
      </c:pivotFmt>
      <c:pivotFmt>
        <c:idx val="10"/>
        <c:spPr>
          <a:solidFill>
            <a:schemeClr val="accent1">
              <a:lumMod val="75000"/>
            </a:schemeClr>
          </a:solidFill>
          <a:ln w="19050">
            <a:noFill/>
          </a:ln>
          <a:effectLst/>
        </c:spPr>
      </c:pivotFmt>
    </c:pivotFmts>
    <c:plotArea>
      <c:layout>
        <c:manualLayout>
          <c:layoutTarget val="inner"/>
          <c:xMode val="edge"/>
          <c:yMode val="edge"/>
          <c:x val="8.6304867527351198E-2"/>
          <c:y val="0"/>
          <c:w val="0.47996338000957139"/>
          <c:h val="1"/>
        </c:manualLayout>
      </c:layout>
      <c:doughnutChart>
        <c:varyColors val="1"/>
        <c:ser>
          <c:idx val="0"/>
          <c:order val="0"/>
          <c:tx>
            <c:strRef>
              <c:f>Analysis!$K$3</c:f>
              <c:strCache>
                <c:ptCount val="1"/>
                <c:pt idx="0">
                  <c:v>Total</c:v>
                </c:pt>
              </c:strCache>
            </c:strRef>
          </c:tx>
          <c:spPr>
            <a:ln>
              <a:noFill/>
            </a:ln>
          </c:spPr>
          <c:dPt>
            <c:idx val="0"/>
            <c:bubble3D val="0"/>
            <c:spPr>
              <a:solidFill>
                <a:schemeClr val="accent1">
                  <a:lumMod val="20000"/>
                  <a:lumOff val="80000"/>
                </a:schemeClr>
              </a:solidFill>
              <a:ln w="19050">
                <a:noFill/>
              </a:ln>
              <a:effectLst/>
            </c:spPr>
            <c:extLst>
              <c:ext xmlns:c16="http://schemas.microsoft.com/office/drawing/2014/chart" uri="{C3380CC4-5D6E-409C-BE32-E72D297353CC}">
                <c16:uniqueId val="{00000001-64BB-41D6-A2C0-B96350916D9E}"/>
              </c:ext>
            </c:extLst>
          </c:dPt>
          <c:dPt>
            <c:idx val="1"/>
            <c:bubble3D val="0"/>
            <c:spPr>
              <a:solidFill>
                <a:srgbClr val="00B0F0"/>
              </a:solidFill>
              <a:ln w="19050">
                <a:noFill/>
              </a:ln>
              <a:effectLst/>
            </c:spPr>
            <c:extLst>
              <c:ext xmlns:c16="http://schemas.microsoft.com/office/drawing/2014/chart" uri="{C3380CC4-5D6E-409C-BE32-E72D297353CC}">
                <c16:uniqueId val="{00000003-64BB-41D6-A2C0-B96350916D9E}"/>
              </c:ext>
            </c:extLst>
          </c:dPt>
          <c:dPt>
            <c:idx val="2"/>
            <c:bubble3D val="0"/>
            <c:spPr>
              <a:solidFill>
                <a:schemeClr val="accent6">
                  <a:lumMod val="60000"/>
                  <a:lumOff val="40000"/>
                </a:schemeClr>
              </a:solidFill>
              <a:ln w="19050">
                <a:noFill/>
              </a:ln>
              <a:effectLst/>
            </c:spPr>
            <c:extLst>
              <c:ext xmlns:c16="http://schemas.microsoft.com/office/drawing/2014/chart" uri="{C3380CC4-5D6E-409C-BE32-E72D297353CC}">
                <c16:uniqueId val="{00000005-64BB-41D6-A2C0-B96350916D9E}"/>
              </c:ext>
            </c:extLst>
          </c:dPt>
          <c:dPt>
            <c:idx val="3"/>
            <c:bubble3D val="0"/>
            <c:spPr>
              <a:solidFill>
                <a:schemeClr val="accent1">
                  <a:lumMod val="75000"/>
                </a:schemeClr>
              </a:solidFill>
              <a:ln w="19050">
                <a:noFill/>
              </a:ln>
              <a:effectLst/>
            </c:spPr>
            <c:extLst>
              <c:ext xmlns:c16="http://schemas.microsoft.com/office/drawing/2014/chart" uri="{C3380CC4-5D6E-409C-BE32-E72D297353CC}">
                <c16:uniqueId val="{00000007-64BB-41D6-A2C0-B96350916D9E}"/>
              </c:ext>
            </c:extLst>
          </c:dPt>
          <c:cat>
            <c:strRef>
              <c:f>Analysis!$J$4:$J$8</c:f>
              <c:strCache>
                <c:ptCount val="4"/>
                <c:pt idx="0">
                  <c:v>Child</c:v>
                </c:pt>
                <c:pt idx="1">
                  <c:v>Young Adult</c:v>
                </c:pt>
                <c:pt idx="2">
                  <c:v>Adult</c:v>
                </c:pt>
                <c:pt idx="3">
                  <c:v>Senior</c:v>
                </c:pt>
              </c:strCache>
            </c:strRef>
          </c:cat>
          <c:val>
            <c:numRef>
              <c:f>Analysis!$K$4:$K$8</c:f>
              <c:numCache>
                <c:formatCode>General</c:formatCode>
                <c:ptCount val="4"/>
                <c:pt idx="0">
                  <c:v>8</c:v>
                </c:pt>
                <c:pt idx="1">
                  <c:v>25</c:v>
                </c:pt>
                <c:pt idx="2">
                  <c:v>26</c:v>
                </c:pt>
                <c:pt idx="3">
                  <c:v>41</c:v>
                </c:pt>
              </c:numCache>
            </c:numRef>
          </c:val>
          <c:extLst>
            <c:ext xmlns:c16="http://schemas.microsoft.com/office/drawing/2014/chart" uri="{C3380CC4-5D6E-409C-BE32-E72D297353CC}">
              <c16:uniqueId val="{00000008-64BB-41D6-A2C0-B96350916D9E}"/>
            </c:ext>
          </c:extLst>
        </c:ser>
        <c:dLbls>
          <c:showLegendKey val="0"/>
          <c:showVal val="0"/>
          <c:showCatName val="0"/>
          <c:showSerName val="0"/>
          <c:showPercent val="0"/>
          <c:showBubbleSize val="0"/>
          <c:showLeaderLines val="1"/>
        </c:dLbls>
        <c:firstSliceAng val="0"/>
        <c:holeSize val="68"/>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[Healthcare_Admissions_Dataset_Analytics.xlsm]Analysis!PivotTable1</c:name>
    <c:fmtId val="20"/>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Analysis!$E$3</c:f>
              <c:strCache>
                <c:ptCount val="1"/>
                <c:pt idx="0">
                  <c:v>Total</c:v>
                </c:pt>
              </c:strCache>
            </c:strRef>
          </c:tx>
          <c:spPr>
            <a:solidFill>
              <a:srgbClr val="00B0F0"/>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Analysis!$D$4:$D$10</c:f>
              <c:strCache>
                <c:ptCount val="6"/>
                <c:pt idx="0">
                  <c:v>Heart Failure</c:v>
                </c:pt>
                <c:pt idx="1">
                  <c:v>Pneumonia</c:v>
                </c:pt>
                <c:pt idx="2">
                  <c:v>Asthma</c:v>
                </c:pt>
                <c:pt idx="3">
                  <c:v>COPD</c:v>
                </c:pt>
                <c:pt idx="4">
                  <c:v>Diabetes</c:v>
                </c:pt>
                <c:pt idx="5">
                  <c:v>Stroke</c:v>
                </c:pt>
              </c:strCache>
            </c:strRef>
          </c:cat>
          <c:val>
            <c:numRef>
              <c:f>Analysis!$E$4:$E$10</c:f>
              <c:numCache>
                <c:formatCode>General</c:formatCode>
                <c:ptCount val="6"/>
                <c:pt idx="0">
                  <c:v>12</c:v>
                </c:pt>
                <c:pt idx="1">
                  <c:v>15</c:v>
                </c:pt>
                <c:pt idx="2">
                  <c:v>16</c:v>
                </c:pt>
                <c:pt idx="3">
                  <c:v>18</c:v>
                </c:pt>
                <c:pt idx="4">
                  <c:v>19</c:v>
                </c:pt>
                <c:pt idx="5">
                  <c:v>20</c:v>
                </c:pt>
              </c:numCache>
            </c:numRef>
          </c:val>
          <c:extLst>
            <c:ext xmlns:c16="http://schemas.microsoft.com/office/drawing/2014/chart" uri="{C3380CC4-5D6E-409C-BE32-E72D297353CC}">
              <c16:uniqueId val="{00000000-827F-4521-B2A4-5C54A909C3E0}"/>
            </c:ext>
          </c:extLst>
        </c:ser>
        <c:dLbls>
          <c:showLegendKey val="0"/>
          <c:showVal val="0"/>
          <c:showCatName val="0"/>
          <c:showSerName val="0"/>
          <c:showPercent val="0"/>
          <c:showBubbleSize val="0"/>
        </c:dLbls>
        <c:gapWidth val="115"/>
        <c:overlap val="-20"/>
        <c:axId val="145857792"/>
        <c:axId val="145854048"/>
      </c:barChart>
      <c:catAx>
        <c:axId val="145857792"/>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45854048"/>
        <c:crosses val="autoZero"/>
        <c:auto val="1"/>
        <c:lblAlgn val="ctr"/>
        <c:lblOffset val="100"/>
        <c:noMultiLvlLbl val="0"/>
      </c:catAx>
      <c:valAx>
        <c:axId val="14585404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45857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[Healthcare_Admissions_Dataset_Analytics.xlsm]Analysis!PivotTable5</c:name>
    <c:fmtId val="53"/>
  </c:pivotSource>
  <c:chart>
    <c:autoTitleDeleted val="1"/>
    <c:pivotFmts>
      <c:pivotFmt>
        <c:idx val="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ln w="25400" cap="rnd">
            <a:solidFill>
              <a:schemeClr val="bg1"/>
            </a:solidFill>
            <a:round/>
          </a:ln>
          <a:effectLst>
            <a:outerShdw dist="25400" dir="2700000" algn="tl" rotWithShape="0">
              <a:schemeClr val="accent1"/>
            </a:outerShdw>
          </a:effectLst>
        </c:spPr>
        <c:marker>
          <c:symbol val="circle"/>
          <c:size val="14"/>
          <c:spPr>
            <a:solidFill>
              <a:srgbClr val="0070C0"/>
            </a:solidFill>
            <a:ln>
              <a:noFill/>
            </a:ln>
            <a:effectLst/>
          </c:spPr>
        </c:marker>
        <c:dLbl>
          <c:idx val="0"/>
          <c:spPr>
            <a:solidFill>
              <a:srgbClr val="4285F4"/>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7.3643424338049992E-3"/>
          <c:w val="0.98307405886836041"/>
          <c:h val="0.86541693195695513"/>
        </c:manualLayout>
      </c:layout>
      <c:lineChart>
        <c:grouping val="stacked"/>
        <c:varyColors val="0"/>
        <c:ser>
          <c:idx val="0"/>
          <c:order val="0"/>
          <c:tx>
            <c:strRef>
              <c:f>Analysis!$N$3</c:f>
              <c:strCache>
                <c:ptCount val="1"/>
                <c:pt idx="0">
                  <c:v>Total</c:v>
                </c:pt>
              </c:strCache>
            </c:strRef>
          </c:tx>
          <c:spPr>
            <a:ln w="25400" cap="rnd">
              <a:solidFill>
                <a:schemeClr val="bg1"/>
              </a:solidFill>
              <a:round/>
            </a:ln>
            <a:effectLst>
              <a:outerShdw dist="25400" dir="2700000" algn="tl" rotWithShape="0">
                <a:schemeClr val="accent1"/>
              </a:outerShdw>
            </a:effectLst>
          </c:spPr>
          <c:marker>
            <c:symbol val="circle"/>
            <c:size val="14"/>
            <c:spPr>
              <a:solidFill>
                <a:srgbClr val="0070C0"/>
              </a:solidFill>
              <a:ln>
                <a:noFill/>
              </a:ln>
              <a:effectLst/>
            </c:spPr>
          </c:marker>
          <c:cat>
            <c:strRef>
              <c:f>Analysis!$M$4:$M$6</c:f>
              <c:strCache>
                <c:ptCount val="2"/>
                <c:pt idx="0">
                  <c:v>April</c:v>
                </c:pt>
                <c:pt idx="1">
                  <c:v>May</c:v>
                </c:pt>
              </c:strCache>
            </c:strRef>
          </c:cat>
          <c:val>
            <c:numRef>
              <c:f>Analysis!$N$4:$N$6</c:f>
              <c:numCache>
                <c:formatCode>General</c:formatCode>
                <c:ptCount val="2"/>
                <c:pt idx="0">
                  <c:v>49</c:v>
                </c:pt>
                <c:pt idx="1">
                  <c:v>51</c:v>
                </c:pt>
              </c:numCache>
            </c:numRef>
          </c:val>
          <c:smooth val="0"/>
          <c:extLst>
            <c:ext xmlns:c16="http://schemas.microsoft.com/office/drawing/2014/chart" uri="{C3380CC4-5D6E-409C-BE32-E72D297353CC}">
              <c16:uniqueId val="{00000000-04A6-4B21-965B-8FA04E97407E}"/>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691683920"/>
        <c:axId val="1691690160"/>
      </c:lineChart>
      <c:catAx>
        <c:axId val="169168392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spc="30" baseline="0">
                <a:solidFill>
                  <a:schemeClr val="tx1">
                    <a:lumMod val="85000"/>
                    <a:lumOff val="15000"/>
                  </a:schemeClr>
                </a:solidFill>
                <a:latin typeface="+mn-lt"/>
                <a:ea typeface="+mn-ea"/>
                <a:cs typeface="+mn-cs"/>
              </a:defRPr>
            </a:pPr>
            <a:endParaRPr lang="en-US"/>
          </a:p>
        </c:txPr>
        <c:crossAx val="1691690160"/>
        <c:crosses val="autoZero"/>
        <c:auto val="1"/>
        <c:lblAlgn val="ctr"/>
        <c:lblOffset val="100"/>
        <c:noMultiLvlLbl val="0"/>
      </c:catAx>
      <c:valAx>
        <c:axId val="1691690160"/>
        <c:scaling>
          <c:orientation val="minMax"/>
        </c:scaling>
        <c:delete val="1"/>
        <c:axPos val="l"/>
        <c:numFmt formatCode="General" sourceLinked="1"/>
        <c:majorTickMark val="none"/>
        <c:minorTickMark val="none"/>
        <c:tickLblPos val="nextTo"/>
        <c:crossAx val="1691683920"/>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[Healthcare_Admissions_Dataset_Analytics.xlsm]Analysis!PivotTable6</c:name>
    <c:fmtId val="66"/>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85000"/>
                      <a:lumOff val="1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Analysis!$Q$3</c:f>
              <c:strCache>
                <c:ptCount val="1"/>
                <c:pt idx="0">
                  <c:v>Total</c:v>
                </c:pt>
              </c:strCache>
            </c:strRef>
          </c:tx>
          <c:spPr>
            <a:solidFill>
              <a:srgbClr val="00B0F0"/>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85000"/>
                        <a:lumOff val="1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Analysis!$P$4:$P$10</c:f>
              <c:strCache>
                <c:ptCount val="6"/>
                <c:pt idx="0">
                  <c:v>COPD</c:v>
                </c:pt>
                <c:pt idx="1">
                  <c:v>Heart Failure</c:v>
                </c:pt>
                <c:pt idx="2">
                  <c:v>Pneumonia</c:v>
                </c:pt>
                <c:pt idx="3">
                  <c:v>Asthma</c:v>
                </c:pt>
                <c:pt idx="4">
                  <c:v>Stroke</c:v>
                </c:pt>
                <c:pt idx="5">
                  <c:v>Diabetes</c:v>
                </c:pt>
              </c:strCache>
            </c:strRef>
          </c:cat>
          <c:val>
            <c:numRef>
              <c:f>Analysis!$Q$4:$Q$10</c:f>
              <c:numCache>
                <c:formatCode>0.00</c:formatCode>
                <c:ptCount val="6"/>
                <c:pt idx="0">
                  <c:v>5.2222222222222223</c:v>
                </c:pt>
                <c:pt idx="1">
                  <c:v>7.166666666666667</c:v>
                </c:pt>
                <c:pt idx="2">
                  <c:v>7.8666666666666663</c:v>
                </c:pt>
                <c:pt idx="3">
                  <c:v>8.1875</c:v>
                </c:pt>
                <c:pt idx="4">
                  <c:v>8.4499999999999993</c:v>
                </c:pt>
                <c:pt idx="5">
                  <c:v>8.526315789473685</c:v>
                </c:pt>
              </c:numCache>
            </c:numRef>
          </c:val>
          <c:extLst>
            <c:ext xmlns:c16="http://schemas.microsoft.com/office/drawing/2014/chart" uri="{C3380CC4-5D6E-409C-BE32-E72D297353CC}">
              <c16:uniqueId val="{00000000-9901-4D7F-8BDD-764C44191CF7}"/>
            </c:ext>
          </c:extLst>
        </c:ser>
        <c:dLbls>
          <c:dLblPos val="outEnd"/>
          <c:showLegendKey val="0"/>
          <c:showVal val="1"/>
          <c:showCatName val="0"/>
          <c:showSerName val="0"/>
          <c:showPercent val="0"/>
          <c:showBubbleSize val="0"/>
        </c:dLbls>
        <c:gapWidth val="115"/>
        <c:overlap val="-20"/>
        <c:axId val="1691695568"/>
        <c:axId val="1691698896"/>
      </c:barChart>
      <c:catAx>
        <c:axId val="1691695568"/>
        <c:scaling>
          <c:orientation val="minMax"/>
        </c:scaling>
        <c:delete val="0"/>
        <c:axPos val="l"/>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1" i="0" u="none" strike="noStrike" kern="1200" baseline="0">
                <a:solidFill>
                  <a:schemeClr val="tx1">
                    <a:lumMod val="85000"/>
                    <a:lumOff val="15000"/>
                  </a:schemeClr>
                </a:solidFill>
                <a:latin typeface="+mn-lt"/>
                <a:ea typeface="+mn-ea"/>
                <a:cs typeface="+mn-cs"/>
              </a:defRPr>
            </a:pPr>
            <a:endParaRPr lang="en-US"/>
          </a:p>
        </c:txPr>
        <c:crossAx val="1691698896"/>
        <c:crosses val="autoZero"/>
        <c:auto val="1"/>
        <c:lblAlgn val="ctr"/>
        <c:lblOffset val="100"/>
        <c:noMultiLvlLbl val="0"/>
      </c:catAx>
      <c:valAx>
        <c:axId val="1691698896"/>
        <c:scaling>
          <c:orientation val="minMax"/>
        </c:scaling>
        <c:delete val="0"/>
        <c:axPos val="b"/>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85000"/>
                    <a:lumOff val="15000"/>
                  </a:schemeClr>
                </a:solidFill>
                <a:latin typeface="+mn-lt"/>
                <a:ea typeface="+mn-ea"/>
                <a:cs typeface="+mn-cs"/>
              </a:defRPr>
            </a:pPr>
            <a:endParaRPr lang="en-US"/>
          </a:p>
        </c:txPr>
        <c:crossAx val="169169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media/image4.svg"/><Relationship Id="rId13" Type="http://schemas.openxmlformats.org/officeDocument/2006/relationships/image" Target="../media/image8.svg"/><Relationship Id="rId18" Type="http://schemas.openxmlformats.org/officeDocument/2006/relationships/image" Target="../media/image13.png"/><Relationship Id="rId3" Type="http://schemas.openxmlformats.org/officeDocument/2006/relationships/chart" Target="../charts/chart8.xml"/><Relationship Id="rId21" Type="http://schemas.openxmlformats.org/officeDocument/2006/relationships/image" Target="../media/image16.svg"/><Relationship Id="rId7" Type="http://schemas.openxmlformats.org/officeDocument/2006/relationships/image" Target="../media/image3.png"/><Relationship Id="rId12" Type="http://schemas.openxmlformats.org/officeDocument/2006/relationships/image" Target="../media/image7.png"/><Relationship Id="rId17" Type="http://schemas.openxmlformats.org/officeDocument/2006/relationships/image" Target="../media/image12.svg"/><Relationship Id="rId2" Type="http://schemas.openxmlformats.org/officeDocument/2006/relationships/chart" Target="../charts/chart7.xml"/><Relationship Id="rId16" Type="http://schemas.openxmlformats.org/officeDocument/2006/relationships/image" Target="../media/image11.png"/><Relationship Id="rId20" Type="http://schemas.openxmlformats.org/officeDocument/2006/relationships/image" Target="../media/image15.png"/><Relationship Id="rId1" Type="http://schemas.openxmlformats.org/officeDocument/2006/relationships/chart" Target="../charts/chart6.xml"/><Relationship Id="rId6" Type="http://schemas.openxmlformats.org/officeDocument/2006/relationships/chart" Target="../charts/chart11.xml"/><Relationship Id="rId11" Type="http://schemas.openxmlformats.org/officeDocument/2006/relationships/image" Target="../media/image6.png"/><Relationship Id="rId5" Type="http://schemas.openxmlformats.org/officeDocument/2006/relationships/chart" Target="../charts/chart10.xml"/><Relationship Id="rId15" Type="http://schemas.openxmlformats.org/officeDocument/2006/relationships/image" Target="../media/image10.svg"/><Relationship Id="rId23" Type="http://schemas.openxmlformats.org/officeDocument/2006/relationships/image" Target="../media/image18.png"/><Relationship Id="rId10" Type="http://schemas.microsoft.com/office/2007/relationships/hdphoto" Target="../media/hdphoto1.wdp"/><Relationship Id="rId19" Type="http://schemas.openxmlformats.org/officeDocument/2006/relationships/image" Target="../media/image14.svg"/><Relationship Id="rId4" Type="http://schemas.openxmlformats.org/officeDocument/2006/relationships/chart" Target="../charts/chart9.xml"/><Relationship Id="rId9" Type="http://schemas.openxmlformats.org/officeDocument/2006/relationships/image" Target="../media/image5.png"/><Relationship Id="rId14" Type="http://schemas.openxmlformats.org/officeDocument/2006/relationships/image" Target="../media/image9.png"/><Relationship Id="rId22" Type="http://schemas.openxmlformats.org/officeDocument/2006/relationships/image" Target="../media/image17.gif"/></Relationships>
</file>

<file path=xl/drawings/_rels/drawing3.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704850</xdr:colOff>
      <xdr:row>12</xdr:row>
      <xdr:rowOff>101600</xdr:rowOff>
    </xdr:from>
    <xdr:to>
      <xdr:col>4</xdr:col>
      <xdr:colOff>1085850</xdr:colOff>
      <xdr:row>29</xdr:row>
      <xdr:rowOff>146050</xdr:rowOff>
    </xdr:to>
    <xdr:graphicFrame macro="">
      <xdr:nvGraphicFramePr>
        <xdr:cNvPr id="2" name="Chart 1">
          <a:extLst>
            <a:ext uri="{FF2B5EF4-FFF2-40B4-BE49-F238E27FC236}">
              <a16:creationId xmlns:a16="http://schemas.microsoft.com/office/drawing/2014/main" id="{B52DDC37-BDF9-4DD1-802D-5ADA97C62EC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425450</xdr:colOff>
      <xdr:row>21</xdr:row>
      <xdr:rowOff>57150</xdr:rowOff>
    </xdr:from>
    <xdr:to>
      <xdr:col>8</xdr:col>
      <xdr:colOff>139700</xdr:colOff>
      <xdr:row>29</xdr:row>
      <xdr:rowOff>31750</xdr:rowOff>
    </xdr:to>
    <xdr:graphicFrame macro="">
      <xdr:nvGraphicFramePr>
        <xdr:cNvPr id="3" name="Chart 2">
          <a:extLst>
            <a:ext uri="{FF2B5EF4-FFF2-40B4-BE49-F238E27FC236}">
              <a16:creationId xmlns:a16="http://schemas.microsoft.com/office/drawing/2014/main" id="{7BB94F3C-CD04-43A1-8373-9B4D229572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606425</xdr:colOff>
      <xdr:row>19</xdr:row>
      <xdr:rowOff>0</xdr:rowOff>
    </xdr:from>
    <xdr:to>
      <xdr:col>10</xdr:col>
      <xdr:colOff>806450</xdr:colOff>
      <xdr:row>28</xdr:row>
      <xdr:rowOff>38100</xdr:rowOff>
    </xdr:to>
    <xdr:graphicFrame macro="">
      <xdr:nvGraphicFramePr>
        <xdr:cNvPr id="4" name="Chart 3">
          <a:extLst>
            <a:ext uri="{FF2B5EF4-FFF2-40B4-BE49-F238E27FC236}">
              <a16:creationId xmlns:a16="http://schemas.microsoft.com/office/drawing/2014/main" id="{BF1CCB37-C6DE-4A58-8403-9AFFF0A4EF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958850</xdr:colOff>
      <xdr:row>19</xdr:row>
      <xdr:rowOff>63500</xdr:rowOff>
    </xdr:from>
    <xdr:to>
      <xdr:col>13</xdr:col>
      <xdr:colOff>1035050</xdr:colOff>
      <xdr:row>28</xdr:row>
      <xdr:rowOff>50800</xdr:rowOff>
    </xdr:to>
    <xdr:graphicFrame macro="">
      <xdr:nvGraphicFramePr>
        <xdr:cNvPr id="5" name="Chart 4">
          <a:extLst>
            <a:ext uri="{FF2B5EF4-FFF2-40B4-BE49-F238E27FC236}">
              <a16:creationId xmlns:a16="http://schemas.microsoft.com/office/drawing/2014/main" id="{F5363209-C7DF-4F84-8E5E-51CDE4771A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63500</xdr:colOff>
      <xdr:row>18</xdr:row>
      <xdr:rowOff>50800</xdr:rowOff>
    </xdr:from>
    <xdr:to>
      <xdr:col>17</xdr:col>
      <xdr:colOff>749300</xdr:colOff>
      <xdr:row>27</xdr:row>
      <xdr:rowOff>57150</xdr:rowOff>
    </xdr:to>
    <xdr:graphicFrame macro="">
      <xdr:nvGraphicFramePr>
        <xdr:cNvPr id="6" name="Chart 5">
          <a:extLst>
            <a:ext uri="{FF2B5EF4-FFF2-40B4-BE49-F238E27FC236}">
              <a16:creationId xmlns:a16="http://schemas.microsoft.com/office/drawing/2014/main" id="{EFA2A360-BF5B-4AB0-ACBA-7314421F1A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1327150</xdr:colOff>
      <xdr:row>14</xdr:row>
      <xdr:rowOff>31750</xdr:rowOff>
    </xdr:from>
    <xdr:to>
      <xdr:col>25</xdr:col>
      <xdr:colOff>63500</xdr:colOff>
      <xdr:row>57</xdr:row>
      <xdr:rowOff>31750</xdr:rowOff>
    </xdr:to>
    <xdr:sp macro="" textlink="">
      <xdr:nvSpPr>
        <xdr:cNvPr id="13" name="TextBox 12">
          <a:extLst>
            <a:ext uri="{FF2B5EF4-FFF2-40B4-BE49-F238E27FC236}">
              <a16:creationId xmlns:a16="http://schemas.microsoft.com/office/drawing/2014/main" id="{0770EF01-9988-487F-A430-0676104C5D44}"/>
            </a:ext>
          </a:extLst>
        </xdr:cNvPr>
        <xdr:cNvSpPr txBox="1"/>
      </xdr:nvSpPr>
      <xdr:spPr>
        <a:xfrm>
          <a:off x="16852900" y="2254250"/>
          <a:ext cx="4514850" cy="682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t>To create </a:t>
          </a:r>
          <a:r>
            <a:rPr lang="en-US" b="1"/>
            <a:t>one button that clears all slicers at once</a:t>
          </a:r>
          <a:r>
            <a:rPr lang="en-US"/>
            <a:t>, you'll need a small VBA macro.</a:t>
          </a:r>
        </a:p>
        <a:p>
          <a:endParaRPr lang="en-US"/>
        </a:p>
        <a:p>
          <a:r>
            <a:rPr lang="en-US" b="1"/>
            <a:t>Step 1: Insert a Button</a:t>
          </a:r>
        </a:p>
        <a:p>
          <a:r>
            <a:rPr lang="en-US"/>
            <a:t>Go to your Dashboard sheet.</a:t>
          </a:r>
        </a:p>
        <a:p>
          <a:r>
            <a:rPr lang="en-US"/>
            <a:t>Insert → Shapes.</a:t>
          </a:r>
        </a:p>
        <a:p>
          <a:r>
            <a:rPr lang="en-US"/>
            <a:t>Choose a rectangle.</a:t>
          </a:r>
        </a:p>
        <a:p>
          <a:r>
            <a:rPr lang="en-US"/>
            <a:t>Draw it and type:</a:t>
          </a:r>
        </a:p>
        <a:p>
          <a:r>
            <a:rPr lang="en-US"/>
            <a:t>RESET DASHBOARD </a:t>
          </a:r>
        </a:p>
        <a:p>
          <a:endParaRPr lang="en-US" b="1"/>
        </a:p>
        <a:p>
          <a:r>
            <a:rPr lang="en-US" b="1"/>
            <a:t>Step 2: Open VBA Editor</a:t>
          </a:r>
        </a:p>
        <a:p>
          <a:r>
            <a:rPr lang="en-US"/>
            <a:t>Press:</a:t>
          </a:r>
        </a:p>
        <a:p>
          <a:r>
            <a:rPr lang="en-US"/>
            <a:t>ALT + F11 </a:t>
          </a:r>
        </a:p>
        <a:p>
          <a:endParaRPr lang="en-US" b="1"/>
        </a:p>
        <a:p>
          <a:r>
            <a:rPr lang="en-US" b="1"/>
            <a:t>Step 3: Insert a Module</a:t>
          </a:r>
        </a:p>
        <a:p>
          <a:r>
            <a:rPr lang="en-US"/>
            <a:t>Insert → Module</a:t>
          </a:r>
        </a:p>
        <a:p>
          <a:r>
            <a:rPr lang="en-US"/>
            <a:t>Paste this code:</a:t>
          </a:r>
        </a:p>
        <a:p>
          <a:r>
            <a:rPr lang="en-US"/>
            <a:t>Sub ClearAllSlicers() Dim sc As SlicerCache For Each sc In ThisWorkbook.SlicerCaches sc.ClearManualFilter Next sc End Sub</a:t>
          </a:r>
        </a:p>
        <a:p>
          <a:r>
            <a:rPr lang="en-US"/>
            <a:t> </a:t>
          </a:r>
        </a:p>
        <a:p>
          <a:r>
            <a:rPr lang="en-US" b="1"/>
            <a:t>Step 4: Save</a:t>
          </a:r>
        </a:p>
        <a:p>
          <a:r>
            <a:rPr lang="en-US"/>
            <a:t>Save the workbook as:</a:t>
          </a:r>
        </a:p>
        <a:p>
          <a:r>
            <a:rPr lang="en-US"/>
            <a:t>Excel Macro-Enabled Workbook (*.xlsm) </a:t>
          </a:r>
          <a:r>
            <a:rPr lang="en-US" b="1"/>
            <a:t>Step 5: Assign Macro to the Button</a:t>
          </a:r>
        </a:p>
        <a:p>
          <a:r>
            <a:rPr lang="en-US"/>
            <a:t>Return to Excel.</a:t>
          </a:r>
        </a:p>
        <a:p>
          <a:r>
            <a:rPr lang="en-US"/>
            <a:t>Right-click the shape.</a:t>
          </a:r>
        </a:p>
        <a:p>
          <a:r>
            <a:rPr lang="en-US"/>
            <a:t>Select:</a:t>
          </a:r>
        </a:p>
        <a:p>
          <a:r>
            <a:rPr lang="en-US"/>
            <a:t>Assign Macro Choose:</a:t>
          </a:r>
        </a:p>
        <a:p>
          <a:r>
            <a:rPr lang="en-US"/>
            <a:t>ClearAllSlicers Click OK.</a:t>
          </a:r>
        </a:p>
        <a:p>
          <a:r>
            <a:rPr lang="en-US" b="1"/>
            <a:t>Result</a:t>
          </a:r>
        </a:p>
        <a:p>
          <a:r>
            <a:rPr lang="en-US"/>
            <a:t>When users click:</a:t>
          </a:r>
        </a:p>
        <a:p>
          <a:r>
            <a:rPr lang="en-US"/>
            <a:t>RESET DASHBOARD all slicers will automatically clear and the dashboard will return to its default view.</a:t>
          </a:r>
        </a:p>
        <a:p>
          <a:r>
            <a:rPr lang="en-US" b="1"/>
            <a:t>Optional Enhancement</a:t>
          </a:r>
        </a:p>
        <a:p>
          <a:r>
            <a:rPr lang="en-US"/>
            <a:t>Format the button:</a:t>
          </a:r>
        </a:p>
        <a:p>
          <a:r>
            <a:rPr lang="en-US"/>
            <a:t>Dark blue fill</a:t>
          </a:r>
        </a:p>
        <a:p>
          <a:r>
            <a:rPr lang="en-US"/>
            <a:t>White text</a:t>
          </a:r>
        </a:p>
        <a:p>
          <a:r>
            <a:rPr lang="en-US"/>
            <a:t>Rounded corners</a:t>
          </a:r>
        </a:p>
        <a:p>
          <a:r>
            <a:rPr lang="en-US"/>
            <a:t>Add a refresh/reset icon</a:t>
          </a:r>
        </a:p>
        <a:p>
          <a:r>
            <a:rPr lang="en-US"/>
            <a:t>This makes it look like a professional dashboard control.</a:t>
          </a: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29477</xdr:rowOff>
    </xdr:from>
    <xdr:to>
      <xdr:col>19</xdr:col>
      <xdr:colOff>355600</xdr:colOff>
      <xdr:row>7</xdr:row>
      <xdr:rowOff>0</xdr:rowOff>
    </xdr:to>
    <xdr:sp macro="" textlink="">
      <xdr:nvSpPr>
        <xdr:cNvPr id="3" name="TextBox 2">
          <a:extLst>
            <a:ext uri="{FF2B5EF4-FFF2-40B4-BE49-F238E27FC236}">
              <a16:creationId xmlns:a16="http://schemas.microsoft.com/office/drawing/2014/main" id="{552C5684-A0BC-4962-A4B3-951D589CF976}"/>
            </a:ext>
          </a:extLst>
        </xdr:cNvPr>
        <xdr:cNvSpPr txBox="1"/>
      </xdr:nvSpPr>
      <xdr:spPr>
        <a:xfrm>
          <a:off x="0" y="29477"/>
          <a:ext cx="11944350" cy="1081773"/>
        </a:xfrm>
        <a:prstGeom prst="rect">
          <a:avLst/>
        </a:prstGeom>
        <a:solidFill>
          <a:srgbClr val="00164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0</xdr:col>
      <xdr:colOff>0</xdr:colOff>
      <xdr:row>3</xdr:row>
      <xdr:rowOff>115454</xdr:rowOff>
    </xdr:from>
    <xdr:to>
      <xdr:col>19</xdr:col>
      <xdr:colOff>355600</xdr:colOff>
      <xdr:row>46</xdr:row>
      <xdr:rowOff>0</xdr:rowOff>
    </xdr:to>
    <xdr:sp macro="" textlink="">
      <xdr:nvSpPr>
        <xdr:cNvPr id="8" name="Rectangle: Rounded Corners 7">
          <a:extLst>
            <a:ext uri="{FF2B5EF4-FFF2-40B4-BE49-F238E27FC236}">
              <a16:creationId xmlns:a16="http://schemas.microsoft.com/office/drawing/2014/main" id="{96020ECC-AEEA-4350-8231-5462508BCEE1}"/>
            </a:ext>
          </a:extLst>
        </xdr:cNvPr>
        <xdr:cNvSpPr/>
      </xdr:nvSpPr>
      <xdr:spPr>
        <a:xfrm>
          <a:off x="0" y="591704"/>
          <a:ext cx="11944350" cy="6710796"/>
        </a:xfrm>
        <a:prstGeom prst="roundRect">
          <a:avLst>
            <a:gd name="adj" fmla="val 4851"/>
          </a:avLst>
        </a:prstGeom>
        <a:solidFill>
          <a:schemeClr val="bg2">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101600</xdr:colOff>
      <xdr:row>18</xdr:row>
      <xdr:rowOff>76200</xdr:rowOff>
    </xdr:from>
    <xdr:to>
      <xdr:col>6</xdr:col>
      <xdr:colOff>114300</xdr:colOff>
      <xdr:row>31</xdr:row>
      <xdr:rowOff>69850</xdr:rowOff>
    </xdr:to>
    <xdr:sp macro="" textlink="">
      <xdr:nvSpPr>
        <xdr:cNvPr id="21" name="Rectangle: Rounded Corners 20">
          <a:extLst>
            <a:ext uri="{FF2B5EF4-FFF2-40B4-BE49-F238E27FC236}">
              <a16:creationId xmlns:a16="http://schemas.microsoft.com/office/drawing/2014/main" id="{FC8F1D2C-9827-47B9-BA06-59E4958E3A8A}"/>
            </a:ext>
          </a:extLst>
        </xdr:cNvPr>
        <xdr:cNvSpPr/>
      </xdr:nvSpPr>
      <xdr:spPr>
        <a:xfrm>
          <a:off x="101600" y="2933700"/>
          <a:ext cx="3672305" cy="2057400"/>
        </a:xfrm>
        <a:prstGeom prst="roundRect">
          <a:avLst>
            <a:gd name="adj" fmla="val 10710"/>
          </a:avLst>
        </a:prstGeom>
        <a:solidFill>
          <a:schemeClr val="bg1"/>
        </a:solidFill>
        <a:ln>
          <a:solidFill>
            <a:schemeClr val="bg1">
              <a:lumMod val="65000"/>
            </a:schemeClr>
          </a:solidFill>
        </a:ln>
        <a:effectLst>
          <a:outerShdw blurRad="571500" dir="4620000" algn="tl" rotWithShape="0">
            <a:schemeClr val="tx1">
              <a:lumMod val="95000"/>
              <a:lumOff val="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32926</xdr:colOff>
      <xdr:row>0</xdr:row>
      <xdr:rowOff>25792</xdr:rowOff>
    </xdr:from>
    <xdr:to>
      <xdr:col>13</xdr:col>
      <xdr:colOff>598076</xdr:colOff>
      <xdr:row>2</xdr:row>
      <xdr:rowOff>89291</xdr:rowOff>
    </xdr:to>
    <xdr:sp macro="" textlink="">
      <xdr:nvSpPr>
        <xdr:cNvPr id="4" name="TextBox 3">
          <a:extLst>
            <a:ext uri="{FF2B5EF4-FFF2-40B4-BE49-F238E27FC236}">
              <a16:creationId xmlns:a16="http://schemas.microsoft.com/office/drawing/2014/main" id="{0D9CAC39-B096-4E6F-AE03-AE42FAED1E48}"/>
            </a:ext>
          </a:extLst>
        </xdr:cNvPr>
        <xdr:cNvSpPr txBox="1"/>
      </xdr:nvSpPr>
      <xdr:spPr>
        <a:xfrm>
          <a:off x="3082597" y="25792"/>
          <a:ext cx="5444624" cy="380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bg1"/>
              </a:solidFill>
            </a:rPr>
            <a:t>HEALTHCARE ADMISSIONS DASHBOARD</a:t>
          </a:r>
        </a:p>
      </xdr:txBody>
    </xdr:sp>
    <xdr:clientData/>
  </xdr:twoCellAnchor>
  <xdr:twoCellAnchor>
    <xdr:from>
      <xdr:col>0</xdr:col>
      <xdr:colOff>95250</xdr:colOff>
      <xdr:row>8</xdr:row>
      <xdr:rowOff>146050</xdr:rowOff>
    </xdr:from>
    <xdr:to>
      <xdr:col>3</xdr:col>
      <xdr:colOff>501650</xdr:colOff>
      <xdr:row>17</xdr:row>
      <xdr:rowOff>107950</xdr:rowOff>
    </xdr:to>
    <xdr:sp macro="" textlink="">
      <xdr:nvSpPr>
        <xdr:cNvPr id="13" name="Rectangle: Rounded Corners 12">
          <a:extLst>
            <a:ext uri="{FF2B5EF4-FFF2-40B4-BE49-F238E27FC236}">
              <a16:creationId xmlns:a16="http://schemas.microsoft.com/office/drawing/2014/main" id="{8AF7AE52-20F1-4C27-8BD6-AB7DBCD6CB3C}"/>
            </a:ext>
          </a:extLst>
        </xdr:cNvPr>
        <xdr:cNvSpPr/>
      </xdr:nvSpPr>
      <xdr:spPr>
        <a:xfrm>
          <a:off x="95250" y="1416050"/>
          <a:ext cx="2236203" cy="1390650"/>
        </a:xfrm>
        <a:prstGeom prst="roundRect">
          <a:avLst>
            <a:gd name="adj" fmla="val 10710"/>
          </a:avLst>
        </a:prstGeom>
        <a:solidFill>
          <a:schemeClr val="bg1"/>
        </a:solidFill>
        <a:ln>
          <a:solidFill>
            <a:schemeClr val="bg1">
              <a:lumMod val="65000"/>
            </a:schemeClr>
          </a:solidFill>
        </a:ln>
        <a:effectLst>
          <a:outerShdw blurRad="571500" dir="4620000" algn="tl" rotWithShape="0">
            <a:schemeClr val="tx1">
              <a:lumMod val="95000"/>
              <a:lumOff val="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88900</xdr:colOff>
      <xdr:row>18</xdr:row>
      <xdr:rowOff>63500</xdr:rowOff>
    </xdr:from>
    <xdr:to>
      <xdr:col>6</xdr:col>
      <xdr:colOff>101600</xdr:colOff>
      <xdr:row>31</xdr:row>
      <xdr:rowOff>57150</xdr:rowOff>
    </xdr:to>
    <xdr:sp macro="" textlink="">
      <xdr:nvSpPr>
        <xdr:cNvPr id="14" name="Rectangle: Rounded Corners 13">
          <a:extLst>
            <a:ext uri="{FF2B5EF4-FFF2-40B4-BE49-F238E27FC236}">
              <a16:creationId xmlns:a16="http://schemas.microsoft.com/office/drawing/2014/main" id="{BCA4BAF7-7E74-4192-BE7D-86D8FD6D18FD}"/>
            </a:ext>
          </a:extLst>
        </xdr:cNvPr>
        <xdr:cNvSpPr/>
      </xdr:nvSpPr>
      <xdr:spPr>
        <a:xfrm>
          <a:off x="88900" y="2921000"/>
          <a:ext cx="3672305" cy="2057400"/>
        </a:xfrm>
        <a:prstGeom prst="roundRect">
          <a:avLst>
            <a:gd name="adj" fmla="val 10710"/>
          </a:avLst>
        </a:prstGeom>
        <a:solidFill>
          <a:srgbClr val="002060"/>
        </a:solidFill>
        <a:ln>
          <a:solidFill>
            <a:schemeClr val="bg1">
              <a:lumMod val="65000"/>
            </a:schemeClr>
          </a:solidFill>
        </a:ln>
        <a:effectLst>
          <a:outerShdw blurRad="571500" dir="4620000" algn="tl" rotWithShape="0">
            <a:schemeClr val="tx1">
              <a:lumMod val="95000"/>
              <a:lumOff val="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578974</xdr:colOff>
      <xdr:row>9</xdr:row>
      <xdr:rowOff>6724</xdr:rowOff>
    </xdr:from>
    <xdr:to>
      <xdr:col>7</xdr:col>
      <xdr:colOff>231966</xdr:colOff>
      <xdr:row>17</xdr:row>
      <xdr:rowOff>127374</xdr:rowOff>
    </xdr:to>
    <xdr:sp macro="" textlink="">
      <xdr:nvSpPr>
        <xdr:cNvPr id="17" name="Rectangle: Rounded Corners 16">
          <a:extLst>
            <a:ext uri="{FF2B5EF4-FFF2-40B4-BE49-F238E27FC236}">
              <a16:creationId xmlns:a16="http://schemas.microsoft.com/office/drawing/2014/main" id="{B33E39AC-AF27-4C77-9F55-7A7C2F56AF02}"/>
            </a:ext>
          </a:extLst>
        </xdr:cNvPr>
        <xdr:cNvSpPr/>
      </xdr:nvSpPr>
      <xdr:spPr>
        <a:xfrm>
          <a:off x="2408777" y="1435474"/>
          <a:ext cx="2092728" cy="1390650"/>
        </a:xfrm>
        <a:prstGeom prst="roundRect">
          <a:avLst>
            <a:gd name="adj" fmla="val 10710"/>
          </a:avLst>
        </a:prstGeom>
        <a:solidFill>
          <a:schemeClr val="bg1"/>
        </a:solidFill>
        <a:ln>
          <a:solidFill>
            <a:schemeClr val="bg1">
              <a:lumMod val="65000"/>
            </a:schemeClr>
          </a:solidFill>
        </a:ln>
        <a:effectLst>
          <a:outerShdw blurRad="571500" dir="4620000" algn="tl" rotWithShape="0">
            <a:schemeClr val="tx1">
              <a:lumMod val="95000"/>
              <a:lumOff val="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311904</xdr:colOff>
      <xdr:row>9</xdr:row>
      <xdr:rowOff>29509</xdr:rowOff>
    </xdr:from>
    <xdr:to>
      <xdr:col>10</xdr:col>
      <xdr:colOff>37356</xdr:colOff>
      <xdr:row>17</xdr:row>
      <xdr:rowOff>150159</xdr:rowOff>
    </xdr:to>
    <xdr:sp macro="" textlink="">
      <xdr:nvSpPr>
        <xdr:cNvPr id="19" name="Rectangle: Rounded Corners 18">
          <a:extLst>
            <a:ext uri="{FF2B5EF4-FFF2-40B4-BE49-F238E27FC236}">
              <a16:creationId xmlns:a16="http://schemas.microsoft.com/office/drawing/2014/main" id="{DC3EED46-4DFD-4372-A5E3-EE3B88A3CC55}"/>
            </a:ext>
          </a:extLst>
        </xdr:cNvPr>
        <xdr:cNvSpPr/>
      </xdr:nvSpPr>
      <xdr:spPr>
        <a:xfrm>
          <a:off x="4581443" y="1458259"/>
          <a:ext cx="1555255" cy="1390650"/>
        </a:xfrm>
        <a:prstGeom prst="roundRect">
          <a:avLst>
            <a:gd name="adj" fmla="val 10710"/>
          </a:avLst>
        </a:prstGeom>
        <a:solidFill>
          <a:schemeClr val="bg1"/>
        </a:solidFill>
        <a:ln>
          <a:solidFill>
            <a:schemeClr val="bg1">
              <a:lumMod val="65000"/>
            </a:schemeClr>
          </a:solidFill>
        </a:ln>
        <a:effectLst>
          <a:outerShdw blurRad="571500" dir="4620000" algn="tl" rotWithShape="0">
            <a:schemeClr val="tx1">
              <a:lumMod val="95000"/>
              <a:lumOff val="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82551</xdr:colOff>
      <xdr:row>9</xdr:row>
      <xdr:rowOff>29510</xdr:rowOff>
    </xdr:from>
    <xdr:to>
      <xdr:col>12</xdr:col>
      <xdr:colOff>342900</xdr:colOff>
      <xdr:row>17</xdr:row>
      <xdr:rowOff>150160</xdr:rowOff>
    </xdr:to>
    <xdr:sp macro="" textlink="">
      <xdr:nvSpPr>
        <xdr:cNvPr id="20" name="Rectangle: Rounded Corners 19">
          <a:extLst>
            <a:ext uri="{FF2B5EF4-FFF2-40B4-BE49-F238E27FC236}">
              <a16:creationId xmlns:a16="http://schemas.microsoft.com/office/drawing/2014/main" id="{79373801-E6DB-481B-BB85-34A8308B7488}"/>
            </a:ext>
          </a:extLst>
        </xdr:cNvPr>
        <xdr:cNvSpPr/>
      </xdr:nvSpPr>
      <xdr:spPr>
        <a:xfrm>
          <a:off x="6181893" y="1458260"/>
          <a:ext cx="1480218" cy="1390650"/>
        </a:xfrm>
        <a:prstGeom prst="roundRect">
          <a:avLst>
            <a:gd name="adj" fmla="val 10710"/>
          </a:avLst>
        </a:prstGeom>
        <a:solidFill>
          <a:schemeClr val="bg1"/>
        </a:solidFill>
        <a:ln>
          <a:solidFill>
            <a:schemeClr val="bg1">
              <a:lumMod val="65000"/>
            </a:schemeClr>
          </a:solidFill>
        </a:ln>
        <a:effectLst>
          <a:outerShdw blurRad="571500" dir="4620000" algn="tl" rotWithShape="0">
            <a:schemeClr val="tx1">
              <a:lumMod val="95000"/>
              <a:lumOff val="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101600</xdr:colOff>
      <xdr:row>20</xdr:row>
      <xdr:rowOff>25400</xdr:rowOff>
    </xdr:from>
    <xdr:to>
      <xdr:col>6</xdr:col>
      <xdr:colOff>114300</xdr:colOff>
      <xdr:row>31</xdr:row>
      <xdr:rowOff>38100</xdr:rowOff>
    </xdr:to>
    <xdr:sp macro="" textlink="">
      <xdr:nvSpPr>
        <xdr:cNvPr id="25" name="Rectangle: Rounded Corners 24">
          <a:extLst>
            <a:ext uri="{FF2B5EF4-FFF2-40B4-BE49-F238E27FC236}">
              <a16:creationId xmlns:a16="http://schemas.microsoft.com/office/drawing/2014/main" id="{B1936EE1-074D-43E8-BC2B-B5869AA5066C}"/>
            </a:ext>
          </a:extLst>
        </xdr:cNvPr>
        <xdr:cNvSpPr/>
      </xdr:nvSpPr>
      <xdr:spPr>
        <a:xfrm>
          <a:off x="101600" y="3200400"/>
          <a:ext cx="3672305" cy="1758950"/>
        </a:xfrm>
        <a:prstGeom prst="roundRect">
          <a:avLst>
            <a:gd name="adj" fmla="val 10710"/>
          </a:avLst>
        </a:prstGeom>
        <a:solidFill>
          <a:schemeClr val="bg1"/>
        </a:solidFill>
        <a:ln>
          <a:solidFill>
            <a:schemeClr val="bg1">
              <a:lumMod val="65000"/>
            </a:schemeClr>
          </a:solidFill>
        </a:ln>
        <a:effectLst>
          <a:outerShdw blurRad="571500" dir="4620000" algn="tl" rotWithShape="0">
            <a:schemeClr val="tx1">
              <a:lumMod val="95000"/>
              <a:lumOff val="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120650</xdr:colOff>
      <xdr:row>19</xdr:row>
      <xdr:rowOff>98307</xdr:rowOff>
    </xdr:from>
    <xdr:to>
      <xdr:col>6</xdr:col>
      <xdr:colOff>57150</xdr:colOff>
      <xdr:row>31</xdr:row>
      <xdr:rowOff>50800</xdr:rowOff>
    </xdr:to>
    <xdr:graphicFrame macro="">
      <xdr:nvGraphicFramePr>
        <xdr:cNvPr id="22" name="Chart 21">
          <a:extLst>
            <a:ext uri="{FF2B5EF4-FFF2-40B4-BE49-F238E27FC236}">
              <a16:creationId xmlns:a16="http://schemas.microsoft.com/office/drawing/2014/main" id="{F8701F49-60AA-4367-A979-E497DEB7DE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323850</xdr:colOff>
      <xdr:row>18</xdr:row>
      <xdr:rowOff>96660</xdr:rowOff>
    </xdr:from>
    <xdr:to>
      <xdr:col>12</xdr:col>
      <xdr:colOff>336550</xdr:colOff>
      <xdr:row>31</xdr:row>
      <xdr:rowOff>90310</xdr:rowOff>
    </xdr:to>
    <xdr:sp macro="" textlink="">
      <xdr:nvSpPr>
        <xdr:cNvPr id="26" name="Rectangle: Rounded Corners 25">
          <a:extLst>
            <a:ext uri="{FF2B5EF4-FFF2-40B4-BE49-F238E27FC236}">
              <a16:creationId xmlns:a16="http://schemas.microsoft.com/office/drawing/2014/main" id="{6E35F22F-D7AB-4D87-BF05-01A5E8C78161}"/>
            </a:ext>
          </a:extLst>
        </xdr:cNvPr>
        <xdr:cNvSpPr/>
      </xdr:nvSpPr>
      <xdr:spPr>
        <a:xfrm>
          <a:off x="3983455" y="2954160"/>
          <a:ext cx="3672306" cy="2057400"/>
        </a:xfrm>
        <a:prstGeom prst="roundRect">
          <a:avLst>
            <a:gd name="adj" fmla="val 10710"/>
          </a:avLst>
        </a:prstGeom>
        <a:solidFill>
          <a:srgbClr val="002060"/>
        </a:solidFill>
        <a:ln>
          <a:solidFill>
            <a:schemeClr val="bg1">
              <a:lumMod val="65000"/>
            </a:schemeClr>
          </a:solidFill>
        </a:ln>
        <a:effectLst>
          <a:outerShdw blurRad="571500" dir="4620000" algn="tl" rotWithShape="0">
            <a:schemeClr val="tx1">
              <a:lumMod val="95000"/>
              <a:lumOff val="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328789</xdr:colOff>
      <xdr:row>20</xdr:row>
      <xdr:rowOff>64438</xdr:rowOff>
    </xdr:from>
    <xdr:to>
      <xdr:col>12</xdr:col>
      <xdr:colOff>341489</xdr:colOff>
      <xdr:row>31</xdr:row>
      <xdr:rowOff>77138</xdr:rowOff>
    </xdr:to>
    <xdr:sp macro="" textlink="">
      <xdr:nvSpPr>
        <xdr:cNvPr id="27" name="Rectangle: Rounded Corners 26">
          <a:extLst>
            <a:ext uri="{FF2B5EF4-FFF2-40B4-BE49-F238E27FC236}">
              <a16:creationId xmlns:a16="http://schemas.microsoft.com/office/drawing/2014/main" id="{5A14B05D-8A21-4749-8619-71185D3AFFAE}"/>
            </a:ext>
          </a:extLst>
        </xdr:cNvPr>
        <xdr:cNvSpPr/>
      </xdr:nvSpPr>
      <xdr:spPr>
        <a:xfrm>
          <a:off x="3988394" y="3239438"/>
          <a:ext cx="3672306" cy="1758950"/>
        </a:xfrm>
        <a:prstGeom prst="roundRect">
          <a:avLst>
            <a:gd name="adj" fmla="val 10710"/>
          </a:avLst>
        </a:prstGeom>
        <a:solidFill>
          <a:schemeClr val="bg1"/>
        </a:solidFill>
        <a:ln>
          <a:solidFill>
            <a:schemeClr val="bg1">
              <a:lumMod val="65000"/>
            </a:schemeClr>
          </a:solidFill>
        </a:ln>
        <a:effectLst>
          <a:outerShdw blurRad="571500" dir="4620000" algn="tl" rotWithShape="0">
            <a:schemeClr val="tx1">
              <a:lumMod val="95000"/>
              <a:lumOff val="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234950</xdr:colOff>
      <xdr:row>18</xdr:row>
      <xdr:rowOff>63500</xdr:rowOff>
    </xdr:from>
    <xdr:to>
      <xdr:col>3</xdr:col>
      <xdr:colOff>457200</xdr:colOff>
      <xdr:row>20</xdr:row>
      <xdr:rowOff>127000</xdr:rowOff>
    </xdr:to>
    <xdr:sp macro="" textlink="">
      <xdr:nvSpPr>
        <xdr:cNvPr id="28" name="TextBox 27">
          <a:extLst>
            <a:ext uri="{FF2B5EF4-FFF2-40B4-BE49-F238E27FC236}">
              <a16:creationId xmlns:a16="http://schemas.microsoft.com/office/drawing/2014/main" id="{4D9B8C56-0149-40F3-BB28-D51C2C7DF395}"/>
            </a:ext>
          </a:extLst>
        </xdr:cNvPr>
        <xdr:cNvSpPr txBox="1"/>
      </xdr:nvSpPr>
      <xdr:spPr>
        <a:xfrm>
          <a:off x="234950" y="2921000"/>
          <a:ext cx="2052053"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bg1"/>
              </a:solidFill>
            </a:rPr>
            <a:t>Admission</a:t>
          </a:r>
          <a:r>
            <a:rPr lang="en-US" sz="1200" b="1" baseline="0">
              <a:solidFill>
                <a:schemeClr val="bg1"/>
              </a:solidFill>
            </a:rPr>
            <a:t>s by Hospital</a:t>
          </a:r>
          <a:endParaRPr lang="en-US" sz="1200" b="1">
            <a:solidFill>
              <a:schemeClr val="bg1"/>
            </a:solidFill>
          </a:endParaRPr>
        </a:p>
      </xdr:txBody>
    </xdr:sp>
    <xdr:clientData/>
  </xdr:twoCellAnchor>
  <xdr:twoCellAnchor>
    <xdr:from>
      <xdr:col>12</xdr:col>
      <xdr:colOff>479306</xdr:colOff>
      <xdr:row>18</xdr:row>
      <xdr:rowOff>112417</xdr:rowOff>
    </xdr:from>
    <xdr:to>
      <xdr:col>19</xdr:col>
      <xdr:colOff>241299</xdr:colOff>
      <xdr:row>31</xdr:row>
      <xdr:rowOff>106067</xdr:rowOff>
    </xdr:to>
    <xdr:sp macro="" textlink="">
      <xdr:nvSpPr>
        <xdr:cNvPr id="33" name="Rectangle: Rounded Corners 32">
          <a:extLst>
            <a:ext uri="{FF2B5EF4-FFF2-40B4-BE49-F238E27FC236}">
              <a16:creationId xmlns:a16="http://schemas.microsoft.com/office/drawing/2014/main" id="{50050ECD-F166-4463-9485-F7AE01B4604E}"/>
            </a:ext>
          </a:extLst>
        </xdr:cNvPr>
        <xdr:cNvSpPr/>
      </xdr:nvSpPr>
      <xdr:spPr>
        <a:xfrm>
          <a:off x="7798517" y="2969917"/>
          <a:ext cx="4031532" cy="2057400"/>
        </a:xfrm>
        <a:prstGeom prst="roundRect">
          <a:avLst>
            <a:gd name="adj" fmla="val 10710"/>
          </a:avLst>
        </a:prstGeom>
        <a:solidFill>
          <a:srgbClr val="002060"/>
        </a:solidFill>
        <a:ln>
          <a:solidFill>
            <a:schemeClr val="bg1">
              <a:lumMod val="65000"/>
            </a:schemeClr>
          </a:solidFill>
        </a:ln>
        <a:effectLst>
          <a:outerShdw blurRad="571500" dir="4620000" algn="tl" rotWithShape="0">
            <a:schemeClr val="tx1">
              <a:lumMod val="95000"/>
              <a:lumOff val="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496476</xdr:colOff>
      <xdr:row>20</xdr:row>
      <xdr:rowOff>97832</xdr:rowOff>
    </xdr:from>
    <xdr:to>
      <xdr:col>19</xdr:col>
      <xdr:colOff>234950</xdr:colOff>
      <xdr:row>31</xdr:row>
      <xdr:rowOff>110532</xdr:rowOff>
    </xdr:to>
    <xdr:sp macro="" textlink="">
      <xdr:nvSpPr>
        <xdr:cNvPr id="34" name="Rectangle: Rounded Corners 33">
          <a:extLst>
            <a:ext uri="{FF2B5EF4-FFF2-40B4-BE49-F238E27FC236}">
              <a16:creationId xmlns:a16="http://schemas.microsoft.com/office/drawing/2014/main" id="{7F7A63BB-F129-441F-9982-F8B86339F46F}"/>
            </a:ext>
          </a:extLst>
        </xdr:cNvPr>
        <xdr:cNvSpPr/>
      </xdr:nvSpPr>
      <xdr:spPr>
        <a:xfrm>
          <a:off x="7815687" y="3272832"/>
          <a:ext cx="4008013" cy="1758950"/>
        </a:xfrm>
        <a:prstGeom prst="roundRect">
          <a:avLst>
            <a:gd name="adj" fmla="val 10710"/>
          </a:avLst>
        </a:prstGeom>
        <a:solidFill>
          <a:schemeClr val="bg1"/>
        </a:solidFill>
        <a:ln>
          <a:solidFill>
            <a:schemeClr val="bg1">
              <a:lumMod val="65000"/>
            </a:schemeClr>
          </a:solidFill>
        </a:ln>
        <a:effectLst>
          <a:outerShdw blurRad="571500" dir="4620000" algn="tl" rotWithShape="0">
            <a:schemeClr val="tx1">
              <a:lumMod val="95000"/>
              <a:lumOff val="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504599</xdr:colOff>
      <xdr:row>19</xdr:row>
      <xdr:rowOff>73705</xdr:rowOff>
    </xdr:from>
    <xdr:to>
      <xdr:col>19</xdr:col>
      <xdr:colOff>127000</xdr:colOff>
      <xdr:row>31</xdr:row>
      <xdr:rowOff>34018</xdr:rowOff>
    </xdr:to>
    <xdr:graphicFrame macro="">
      <xdr:nvGraphicFramePr>
        <xdr:cNvPr id="35" name="Chart 34">
          <a:extLst>
            <a:ext uri="{FF2B5EF4-FFF2-40B4-BE49-F238E27FC236}">
              <a16:creationId xmlns:a16="http://schemas.microsoft.com/office/drawing/2014/main" id="{B5B58F32-2860-47FC-8C3B-9FF42374F4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151243</xdr:colOff>
      <xdr:row>18</xdr:row>
      <xdr:rowOff>122224</xdr:rowOff>
    </xdr:from>
    <xdr:to>
      <xdr:col>16</xdr:col>
      <xdr:colOff>574376</xdr:colOff>
      <xdr:row>21</xdr:row>
      <xdr:rowOff>26974</xdr:rowOff>
    </xdr:to>
    <xdr:sp macro="" textlink="">
      <xdr:nvSpPr>
        <xdr:cNvPr id="36" name="TextBox 35">
          <a:extLst>
            <a:ext uri="{FF2B5EF4-FFF2-40B4-BE49-F238E27FC236}">
              <a16:creationId xmlns:a16="http://schemas.microsoft.com/office/drawing/2014/main" id="{67B82369-247E-4454-B87D-286EEEE7BF0D}"/>
            </a:ext>
          </a:extLst>
        </xdr:cNvPr>
        <xdr:cNvSpPr txBox="1"/>
      </xdr:nvSpPr>
      <xdr:spPr>
        <a:xfrm>
          <a:off x="8080388" y="2979724"/>
          <a:ext cx="2252935"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bg1"/>
              </a:solidFill>
            </a:rPr>
            <a:t>Admissions</a:t>
          </a:r>
          <a:r>
            <a:rPr lang="en-US" sz="1200" b="1" baseline="0">
              <a:solidFill>
                <a:schemeClr val="bg1"/>
              </a:solidFill>
            </a:rPr>
            <a:t> by Region</a:t>
          </a:r>
          <a:endParaRPr lang="en-US" sz="1200" b="1">
            <a:solidFill>
              <a:schemeClr val="bg1"/>
            </a:solidFill>
          </a:endParaRPr>
        </a:p>
      </xdr:txBody>
    </xdr:sp>
    <xdr:clientData/>
  </xdr:twoCellAnchor>
  <xdr:twoCellAnchor>
    <xdr:from>
      <xdr:col>6</xdr:col>
      <xdr:colOff>316548</xdr:colOff>
      <xdr:row>31</xdr:row>
      <xdr:rowOff>138423</xdr:rowOff>
    </xdr:from>
    <xdr:to>
      <xdr:col>12</xdr:col>
      <xdr:colOff>329248</xdr:colOff>
      <xdr:row>44</xdr:row>
      <xdr:rowOff>132073</xdr:rowOff>
    </xdr:to>
    <xdr:sp macro="" textlink="">
      <xdr:nvSpPr>
        <xdr:cNvPr id="38" name="Rectangle: Rounded Corners 37">
          <a:extLst>
            <a:ext uri="{FF2B5EF4-FFF2-40B4-BE49-F238E27FC236}">
              <a16:creationId xmlns:a16="http://schemas.microsoft.com/office/drawing/2014/main" id="{D3D260B5-D0B6-4A4E-8C4F-FC60D7AE1476}"/>
            </a:ext>
          </a:extLst>
        </xdr:cNvPr>
        <xdr:cNvSpPr/>
      </xdr:nvSpPr>
      <xdr:spPr>
        <a:xfrm>
          <a:off x="3976153" y="5059673"/>
          <a:ext cx="3672306" cy="2057400"/>
        </a:xfrm>
        <a:prstGeom prst="roundRect">
          <a:avLst>
            <a:gd name="adj" fmla="val 10710"/>
          </a:avLst>
        </a:prstGeom>
        <a:solidFill>
          <a:srgbClr val="002060"/>
        </a:solidFill>
        <a:ln>
          <a:solidFill>
            <a:schemeClr val="bg1">
              <a:lumMod val="65000"/>
            </a:schemeClr>
          </a:solidFill>
        </a:ln>
        <a:effectLst>
          <a:outerShdw blurRad="571500" dir="4620000" algn="tl" rotWithShape="0">
            <a:schemeClr val="tx1">
              <a:lumMod val="95000"/>
              <a:lumOff val="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321727</xdr:colOff>
      <xdr:row>34</xdr:row>
      <xdr:rowOff>10707</xdr:rowOff>
    </xdr:from>
    <xdr:to>
      <xdr:col>12</xdr:col>
      <xdr:colOff>334427</xdr:colOff>
      <xdr:row>45</xdr:row>
      <xdr:rowOff>23407</xdr:rowOff>
    </xdr:to>
    <xdr:sp macro="" textlink="">
      <xdr:nvSpPr>
        <xdr:cNvPr id="39" name="Rectangle: Rounded Corners 38">
          <a:extLst>
            <a:ext uri="{FF2B5EF4-FFF2-40B4-BE49-F238E27FC236}">
              <a16:creationId xmlns:a16="http://schemas.microsoft.com/office/drawing/2014/main" id="{B29219A5-5CFF-480B-820A-675CB52D3167}"/>
            </a:ext>
          </a:extLst>
        </xdr:cNvPr>
        <xdr:cNvSpPr/>
      </xdr:nvSpPr>
      <xdr:spPr>
        <a:xfrm>
          <a:off x="3981332" y="5408207"/>
          <a:ext cx="3672306" cy="1758950"/>
        </a:xfrm>
        <a:prstGeom prst="roundRect">
          <a:avLst>
            <a:gd name="adj" fmla="val 10710"/>
          </a:avLst>
        </a:prstGeom>
        <a:solidFill>
          <a:schemeClr val="bg2">
            <a:lumMod val="75000"/>
          </a:schemeClr>
        </a:solidFill>
        <a:ln>
          <a:solidFill>
            <a:schemeClr val="bg1">
              <a:lumMod val="65000"/>
            </a:schemeClr>
          </a:solidFill>
        </a:ln>
        <a:effectLst>
          <a:outerShdw blurRad="571500" dir="4620000" algn="tl" rotWithShape="0">
            <a:schemeClr val="tx1">
              <a:lumMod val="95000"/>
              <a:lumOff val="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120649</xdr:colOff>
      <xdr:row>20</xdr:row>
      <xdr:rowOff>127000</xdr:rowOff>
    </xdr:from>
    <xdr:to>
      <xdr:col>12</xdr:col>
      <xdr:colOff>95274</xdr:colOff>
      <xdr:row>31</xdr:row>
      <xdr:rowOff>2352</xdr:rowOff>
    </xdr:to>
    <xdr:graphicFrame macro="">
      <xdr:nvGraphicFramePr>
        <xdr:cNvPr id="40" name="Chart 39">
          <a:extLst>
            <a:ext uri="{FF2B5EF4-FFF2-40B4-BE49-F238E27FC236}">
              <a16:creationId xmlns:a16="http://schemas.microsoft.com/office/drawing/2014/main" id="{9BB400D8-8706-4870-A1D4-2465B441DF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510309</xdr:colOff>
      <xdr:row>32</xdr:row>
      <xdr:rowOff>7183</xdr:rowOff>
    </xdr:from>
    <xdr:to>
      <xdr:col>19</xdr:col>
      <xdr:colOff>279400</xdr:colOff>
      <xdr:row>44</xdr:row>
      <xdr:rowOff>157979</xdr:rowOff>
    </xdr:to>
    <xdr:sp macro="" textlink="">
      <xdr:nvSpPr>
        <xdr:cNvPr id="41" name="Rectangle: Rounded Corners 40">
          <a:extLst>
            <a:ext uri="{FF2B5EF4-FFF2-40B4-BE49-F238E27FC236}">
              <a16:creationId xmlns:a16="http://schemas.microsoft.com/office/drawing/2014/main" id="{12510763-BDB0-40BB-B0D6-958D4ACEA6A2}"/>
            </a:ext>
          </a:extLst>
        </xdr:cNvPr>
        <xdr:cNvSpPr/>
      </xdr:nvSpPr>
      <xdr:spPr>
        <a:xfrm>
          <a:off x="7829520" y="5087183"/>
          <a:ext cx="4038630" cy="2055796"/>
        </a:xfrm>
        <a:prstGeom prst="roundRect">
          <a:avLst>
            <a:gd name="adj" fmla="val 10710"/>
          </a:avLst>
        </a:prstGeom>
        <a:solidFill>
          <a:srgbClr val="002060"/>
        </a:solidFill>
        <a:ln>
          <a:solidFill>
            <a:schemeClr val="bg1">
              <a:lumMod val="65000"/>
            </a:schemeClr>
          </a:solidFill>
        </a:ln>
        <a:effectLst>
          <a:outerShdw blurRad="571500" dir="4620000" algn="tl" rotWithShape="0">
            <a:schemeClr val="tx1">
              <a:lumMod val="95000"/>
              <a:lumOff val="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521662</xdr:colOff>
      <xdr:row>33</xdr:row>
      <xdr:rowOff>131979</xdr:rowOff>
    </xdr:from>
    <xdr:to>
      <xdr:col>19</xdr:col>
      <xdr:colOff>266700</xdr:colOff>
      <xdr:row>44</xdr:row>
      <xdr:rowOff>144679</xdr:rowOff>
    </xdr:to>
    <xdr:sp macro="" textlink="">
      <xdr:nvSpPr>
        <xdr:cNvPr id="42" name="Rectangle: Rounded Corners 41">
          <a:extLst>
            <a:ext uri="{FF2B5EF4-FFF2-40B4-BE49-F238E27FC236}">
              <a16:creationId xmlns:a16="http://schemas.microsoft.com/office/drawing/2014/main" id="{3AF74407-8EC7-4342-B406-EC80F53FE2D5}"/>
            </a:ext>
          </a:extLst>
        </xdr:cNvPr>
        <xdr:cNvSpPr/>
      </xdr:nvSpPr>
      <xdr:spPr>
        <a:xfrm>
          <a:off x="7840873" y="5370729"/>
          <a:ext cx="4014577" cy="1758950"/>
        </a:xfrm>
        <a:prstGeom prst="roundRect">
          <a:avLst>
            <a:gd name="adj" fmla="val 10710"/>
          </a:avLst>
        </a:prstGeom>
        <a:solidFill>
          <a:schemeClr val="bg1"/>
        </a:solidFill>
        <a:ln>
          <a:solidFill>
            <a:schemeClr val="bg1">
              <a:lumMod val="65000"/>
            </a:schemeClr>
          </a:solidFill>
        </a:ln>
        <a:effectLst>
          <a:outerShdw blurRad="571500" dir="4620000" algn="tl" rotWithShape="0">
            <a:schemeClr val="tx1">
              <a:lumMod val="95000"/>
              <a:lumOff val="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579411</xdr:colOff>
      <xdr:row>33</xdr:row>
      <xdr:rowOff>47871</xdr:rowOff>
    </xdr:from>
    <xdr:to>
      <xdr:col>19</xdr:col>
      <xdr:colOff>285750</xdr:colOff>
      <xdr:row>45</xdr:row>
      <xdr:rowOff>9062</xdr:rowOff>
    </xdr:to>
    <xdr:graphicFrame macro="">
      <xdr:nvGraphicFramePr>
        <xdr:cNvPr id="31" name="Chart 30">
          <a:extLst>
            <a:ext uri="{FF2B5EF4-FFF2-40B4-BE49-F238E27FC236}">
              <a16:creationId xmlns:a16="http://schemas.microsoft.com/office/drawing/2014/main" id="{03648B79-AA2D-44C9-8A94-6F52B3547C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27088</xdr:colOff>
      <xdr:row>31</xdr:row>
      <xdr:rowOff>150476</xdr:rowOff>
    </xdr:from>
    <xdr:to>
      <xdr:col>16</xdr:col>
      <xdr:colOff>448988</xdr:colOff>
      <xdr:row>34</xdr:row>
      <xdr:rowOff>55226</xdr:rowOff>
    </xdr:to>
    <xdr:sp macro="" textlink="">
      <xdr:nvSpPr>
        <xdr:cNvPr id="32" name="TextBox 31">
          <a:extLst>
            <a:ext uri="{FF2B5EF4-FFF2-40B4-BE49-F238E27FC236}">
              <a16:creationId xmlns:a16="http://schemas.microsoft.com/office/drawing/2014/main" id="{15B3D2BF-DAB0-4586-8CD3-504830CE5CD8}"/>
            </a:ext>
          </a:extLst>
        </xdr:cNvPr>
        <xdr:cNvSpPr txBox="1"/>
      </xdr:nvSpPr>
      <xdr:spPr>
        <a:xfrm>
          <a:off x="7956233" y="5071726"/>
          <a:ext cx="225170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bg1"/>
              </a:solidFill>
            </a:rPr>
            <a:t>Admissions</a:t>
          </a:r>
          <a:r>
            <a:rPr lang="en-US" sz="1200" b="1" baseline="0">
              <a:solidFill>
                <a:schemeClr val="bg1"/>
              </a:solidFill>
            </a:rPr>
            <a:t> by Diagonosis</a:t>
          </a:r>
          <a:endParaRPr lang="en-US" sz="1200" b="1">
            <a:solidFill>
              <a:schemeClr val="bg1"/>
            </a:solidFill>
          </a:endParaRPr>
        </a:p>
      </xdr:txBody>
    </xdr:sp>
    <xdr:clientData/>
  </xdr:twoCellAnchor>
  <xdr:twoCellAnchor>
    <xdr:from>
      <xdr:col>9</xdr:col>
      <xdr:colOff>396178</xdr:colOff>
      <xdr:row>26</xdr:row>
      <xdr:rowOff>25986</xdr:rowOff>
    </xdr:from>
    <xdr:to>
      <xdr:col>10</xdr:col>
      <xdr:colOff>332873</xdr:colOff>
      <xdr:row>28</xdr:row>
      <xdr:rowOff>33088</xdr:rowOff>
    </xdr:to>
    <xdr:sp macro="" textlink="Analysis!K5">
      <xdr:nvSpPr>
        <xdr:cNvPr id="43" name="TextBox 42">
          <a:extLst>
            <a:ext uri="{FF2B5EF4-FFF2-40B4-BE49-F238E27FC236}">
              <a16:creationId xmlns:a16="http://schemas.microsoft.com/office/drawing/2014/main" id="{779E7644-E12E-4004-B3CB-BB05B1D20E1D}"/>
            </a:ext>
          </a:extLst>
        </xdr:cNvPr>
        <xdr:cNvSpPr txBox="1"/>
      </xdr:nvSpPr>
      <xdr:spPr>
        <a:xfrm>
          <a:off x="5885586" y="4153486"/>
          <a:ext cx="546629" cy="324602"/>
        </a:xfrm>
        <a:prstGeom prst="rect">
          <a:avLst/>
        </a:prstGeom>
        <a:solidFill>
          <a:srgbClr val="00B0F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F16DFAF-50D8-4871-A2B5-638CD65FD611}" type="TxLink">
            <a:rPr lang="en-US" sz="1800" b="1" i="0" u="none" strike="noStrike">
              <a:solidFill>
                <a:srgbClr val="000000"/>
              </a:solidFill>
              <a:latin typeface="Arial"/>
              <a:cs typeface="Arial"/>
            </a:rPr>
            <a:pPr algn="ctr"/>
            <a:t>25</a:t>
          </a:fld>
          <a:endParaRPr lang="en-US" sz="1800" b="1">
            <a:solidFill>
              <a:schemeClr val="tx1">
                <a:lumMod val="75000"/>
                <a:lumOff val="25000"/>
              </a:schemeClr>
            </a:solidFill>
          </a:endParaRPr>
        </a:p>
      </xdr:txBody>
    </xdr:sp>
    <xdr:clientData/>
  </xdr:twoCellAnchor>
  <xdr:twoCellAnchor>
    <xdr:from>
      <xdr:col>6</xdr:col>
      <xdr:colOff>429126</xdr:colOff>
      <xdr:row>18</xdr:row>
      <xdr:rowOff>94917</xdr:rowOff>
    </xdr:from>
    <xdr:to>
      <xdr:col>10</xdr:col>
      <xdr:colOff>302460</xdr:colOff>
      <xdr:row>20</xdr:row>
      <xdr:rowOff>12701</xdr:rowOff>
    </xdr:to>
    <xdr:sp macro="" textlink="">
      <xdr:nvSpPr>
        <xdr:cNvPr id="44" name="TextBox 43">
          <a:extLst>
            <a:ext uri="{FF2B5EF4-FFF2-40B4-BE49-F238E27FC236}">
              <a16:creationId xmlns:a16="http://schemas.microsoft.com/office/drawing/2014/main" id="{C8E48F52-783A-49E9-8021-D8B62E3B6F81}"/>
            </a:ext>
          </a:extLst>
        </xdr:cNvPr>
        <xdr:cNvSpPr txBox="1"/>
      </xdr:nvSpPr>
      <xdr:spPr>
        <a:xfrm>
          <a:off x="4088731" y="2952417"/>
          <a:ext cx="2313071" cy="2352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bg1"/>
              </a:solidFill>
            </a:rPr>
            <a:t>Admission</a:t>
          </a:r>
          <a:r>
            <a:rPr lang="en-US" sz="1200" b="1" baseline="0">
              <a:solidFill>
                <a:schemeClr val="bg1"/>
              </a:solidFill>
            </a:rPr>
            <a:t>s by Age Group</a:t>
          </a:r>
          <a:endParaRPr lang="en-US" sz="1200" b="1">
            <a:solidFill>
              <a:schemeClr val="bg1"/>
            </a:solidFill>
          </a:endParaRPr>
        </a:p>
      </xdr:txBody>
    </xdr:sp>
    <xdr:clientData/>
  </xdr:twoCellAnchor>
  <xdr:twoCellAnchor>
    <xdr:from>
      <xdr:col>10</xdr:col>
      <xdr:colOff>308474</xdr:colOff>
      <xdr:row>28</xdr:row>
      <xdr:rowOff>119313</xdr:rowOff>
    </xdr:from>
    <xdr:to>
      <xdr:col>11</xdr:col>
      <xdr:colOff>363620</xdr:colOff>
      <xdr:row>31</xdr:row>
      <xdr:rowOff>24062</xdr:rowOff>
    </xdr:to>
    <xdr:sp macro="" textlink="">
      <xdr:nvSpPr>
        <xdr:cNvPr id="45" name="TextBox 44">
          <a:extLst>
            <a:ext uri="{FF2B5EF4-FFF2-40B4-BE49-F238E27FC236}">
              <a16:creationId xmlns:a16="http://schemas.microsoft.com/office/drawing/2014/main" id="{ADBDAE75-DA83-411C-BD3F-57DEBCE1564B}"/>
            </a:ext>
          </a:extLst>
        </xdr:cNvPr>
        <xdr:cNvSpPr txBox="1"/>
      </xdr:nvSpPr>
      <xdr:spPr>
        <a:xfrm>
          <a:off x="6407816" y="4564313"/>
          <a:ext cx="665080" cy="380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1">
                  <a:lumMod val="75000"/>
                  <a:lumOff val="25000"/>
                </a:schemeClr>
              </a:solidFill>
            </a:rPr>
            <a:t>Child</a:t>
          </a:r>
        </a:p>
      </xdr:txBody>
    </xdr:sp>
    <xdr:clientData/>
  </xdr:twoCellAnchor>
  <xdr:twoCellAnchor>
    <xdr:from>
      <xdr:col>9</xdr:col>
      <xdr:colOff>382476</xdr:colOff>
      <xdr:row>28</xdr:row>
      <xdr:rowOff>91826</xdr:rowOff>
    </xdr:from>
    <xdr:to>
      <xdr:col>10</xdr:col>
      <xdr:colOff>319171</xdr:colOff>
      <xdr:row>30</xdr:row>
      <xdr:rowOff>98927</xdr:rowOff>
    </xdr:to>
    <xdr:sp macro="" textlink="Analysis!K4">
      <xdr:nvSpPr>
        <xdr:cNvPr id="46" name="TextBox 45">
          <a:extLst>
            <a:ext uri="{FF2B5EF4-FFF2-40B4-BE49-F238E27FC236}">
              <a16:creationId xmlns:a16="http://schemas.microsoft.com/office/drawing/2014/main" id="{BDC4C8F6-AABE-4507-A6ED-1D484FC98977}"/>
            </a:ext>
          </a:extLst>
        </xdr:cNvPr>
        <xdr:cNvSpPr txBox="1"/>
      </xdr:nvSpPr>
      <xdr:spPr>
        <a:xfrm>
          <a:off x="5871884" y="4536826"/>
          <a:ext cx="546629" cy="324601"/>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DCFF491-F425-48FE-84F6-D4652E7ACB30}" type="TxLink">
            <a:rPr lang="en-US" sz="1800" b="1" i="0" u="none" strike="noStrike">
              <a:solidFill>
                <a:schemeClr val="tx1">
                  <a:lumMod val="75000"/>
                  <a:lumOff val="25000"/>
                </a:schemeClr>
              </a:solidFill>
              <a:latin typeface="Arial"/>
              <a:cs typeface="Arial"/>
            </a:rPr>
            <a:pPr algn="ctr"/>
            <a:t>8</a:t>
          </a:fld>
          <a:endParaRPr lang="en-US" sz="1800" b="1">
            <a:solidFill>
              <a:schemeClr val="tx1">
                <a:lumMod val="75000"/>
                <a:lumOff val="25000"/>
              </a:schemeClr>
            </a:solidFill>
          </a:endParaRPr>
        </a:p>
      </xdr:txBody>
    </xdr:sp>
    <xdr:clientData/>
  </xdr:twoCellAnchor>
  <xdr:twoCellAnchor>
    <xdr:from>
      <xdr:col>10</xdr:col>
      <xdr:colOff>284411</xdr:colOff>
      <xdr:row>26</xdr:row>
      <xdr:rowOff>30078</xdr:rowOff>
    </xdr:from>
    <xdr:to>
      <xdr:col>12</xdr:col>
      <xdr:colOff>280737</xdr:colOff>
      <xdr:row>28</xdr:row>
      <xdr:rowOff>95249</xdr:rowOff>
    </xdr:to>
    <xdr:sp macro="" textlink="">
      <xdr:nvSpPr>
        <xdr:cNvPr id="47" name="TextBox 46">
          <a:extLst>
            <a:ext uri="{FF2B5EF4-FFF2-40B4-BE49-F238E27FC236}">
              <a16:creationId xmlns:a16="http://schemas.microsoft.com/office/drawing/2014/main" id="{76FC6FDC-A904-40A8-B2A7-1EB678C6B61D}"/>
            </a:ext>
          </a:extLst>
        </xdr:cNvPr>
        <xdr:cNvSpPr txBox="1"/>
      </xdr:nvSpPr>
      <xdr:spPr>
        <a:xfrm>
          <a:off x="6383753" y="4157578"/>
          <a:ext cx="1216195" cy="3826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1">
                  <a:lumMod val="75000"/>
                  <a:lumOff val="25000"/>
                </a:schemeClr>
              </a:solidFill>
            </a:rPr>
            <a:t>Young</a:t>
          </a:r>
          <a:r>
            <a:rPr lang="en-US" sz="1200" b="1" baseline="0">
              <a:solidFill>
                <a:schemeClr val="tx1">
                  <a:lumMod val="75000"/>
                  <a:lumOff val="25000"/>
                </a:schemeClr>
              </a:solidFill>
            </a:rPr>
            <a:t> Adult</a:t>
          </a:r>
          <a:endParaRPr lang="en-US" sz="1200" b="1">
            <a:solidFill>
              <a:schemeClr val="tx1">
                <a:lumMod val="75000"/>
                <a:lumOff val="25000"/>
              </a:schemeClr>
            </a:solidFill>
          </a:endParaRPr>
        </a:p>
      </xdr:txBody>
    </xdr:sp>
    <xdr:clientData/>
  </xdr:twoCellAnchor>
  <xdr:twoCellAnchor>
    <xdr:from>
      <xdr:col>9</xdr:col>
      <xdr:colOff>400857</xdr:colOff>
      <xdr:row>23</xdr:row>
      <xdr:rowOff>72776</xdr:rowOff>
    </xdr:from>
    <xdr:to>
      <xdr:col>10</xdr:col>
      <xdr:colOff>337552</xdr:colOff>
      <xdr:row>25</xdr:row>
      <xdr:rowOff>79878</xdr:rowOff>
    </xdr:to>
    <xdr:sp macro="" textlink="Analysis!K6">
      <xdr:nvSpPr>
        <xdr:cNvPr id="48" name="TextBox 47">
          <a:extLst>
            <a:ext uri="{FF2B5EF4-FFF2-40B4-BE49-F238E27FC236}">
              <a16:creationId xmlns:a16="http://schemas.microsoft.com/office/drawing/2014/main" id="{F372C984-714D-485E-919A-A031815C3A6A}"/>
            </a:ext>
          </a:extLst>
        </xdr:cNvPr>
        <xdr:cNvSpPr txBox="1"/>
      </xdr:nvSpPr>
      <xdr:spPr>
        <a:xfrm>
          <a:off x="5890265" y="3724026"/>
          <a:ext cx="546629" cy="324602"/>
        </a:xfrm>
        <a:prstGeom prst="rect">
          <a:avLst/>
        </a:prstGeom>
        <a:solidFill>
          <a:schemeClr val="accent6">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5275BAF-FF7E-447C-9B01-8465883BC7C6}" type="TxLink">
            <a:rPr lang="en-US" sz="1800" b="1" i="0" u="none" strike="noStrike">
              <a:solidFill>
                <a:srgbClr val="000000"/>
              </a:solidFill>
              <a:latin typeface="Arial"/>
              <a:cs typeface="Arial"/>
            </a:rPr>
            <a:pPr algn="ctr"/>
            <a:t>26</a:t>
          </a:fld>
          <a:endParaRPr lang="en-US" sz="1800" b="1">
            <a:solidFill>
              <a:schemeClr val="tx1">
                <a:lumMod val="75000"/>
                <a:lumOff val="25000"/>
              </a:schemeClr>
            </a:solidFill>
          </a:endParaRPr>
        </a:p>
      </xdr:txBody>
    </xdr:sp>
    <xdr:clientData/>
  </xdr:twoCellAnchor>
  <xdr:twoCellAnchor>
    <xdr:from>
      <xdr:col>9</xdr:col>
      <xdr:colOff>392836</xdr:colOff>
      <xdr:row>20</xdr:row>
      <xdr:rowOff>149645</xdr:rowOff>
    </xdr:from>
    <xdr:to>
      <xdr:col>10</xdr:col>
      <xdr:colOff>329531</xdr:colOff>
      <xdr:row>22</xdr:row>
      <xdr:rowOff>156747</xdr:rowOff>
    </xdr:to>
    <xdr:sp macro="" textlink="Analysis!K7">
      <xdr:nvSpPr>
        <xdr:cNvPr id="49" name="TextBox 48">
          <a:extLst>
            <a:ext uri="{FF2B5EF4-FFF2-40B4-BE49-F238E27FC236}">
              <a16:creationId xmlns:a16="http://schemas.microsoft.com/office/drawing/2014/main" id="{98D1C653-9C32-42D3-93AB-5E7AA46B54F8}"/>
            </a:ext>
          </a:extLst>
        </xdr:cNvPr>
        <xdr:cNvSpPr txBox="1"/>
      </xdr:nvSpPr>
      <xdr:spPr>
        <a:xfrm>
          <a:off x="5882244" y="3324645"/>
          <a:ext cx="546629" cy="324602"/>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112CFFA-8243-4983-9EB4-2C9E829E46E4}" type="TxLink">
            <a:rPr lang="en-US" sz="1800" b="1" i="0" u="none" strike="noStrike">
              <a:solidFill>
                <a:srgbClr val="000000"/>
              </a:solidFill>
              <a:latin typeface="Arial"/>
              <a:cs typeface="Arial"/>
            </a:rPr>
            <a:pPr algn="ctr"/>
            <a:t>41</a:t>
          </a:fld>
          <a:endParaRPr lang="en-US" sz="1800" b="1">
            <a:solidFill>
              <a:schemeClr val="tx1">
                <a:lumMod val="75000"/>
                <a:lumOff val="25000"/>
              </a:schemeClr>
            </a:solidFill>
          </a:endParaRPr>
        </a:p>
      </xdr:txBody>
    </xdr:sp>
    <xdr:clientData/>
  </xdr:twoCellAnchor>
  <xdr:twoCellAnchor>
    <xdr:from>
      <xdr:col>10</xdr:col>
      <xdr:colOff>335210</xdr:colOff>
      <xdr:row>20</xdr:row>
      <xdr:rowOff>148389</xdr:rowOff>
    </xdr:from>
    <xdr:to>
      <xdr:col>11</xdr:col>
      <xdr:colOff>390356</xdr:colOff>
      <xdr:row>23</xdr:row>
      <xdr:rowOff>54810</xdr:rowOff>
    </xdr:to>
    <xdr:sp macro="" textlink="">
      <xdr:nvSpPr>
        <xdr:cNvPr id="50" name="TextBox 49">
          <a:extLst>
            <a:ext uri="{FF2B5EF4-FFF2-40B4-BE49-F238E27FC236}">
              <a16:creationId xmlns:a16="http://schemas.microsoft.com/office/drawing/2014/main" id="{85264A99-E2E4-4185-9F72-C7AA35FC81DA}"/>
            </a:ext>
          </a:extLst>
        </xdr:cNvPr>
        <xdr:cNvSpPr txBox="1"/>
      </xdr:nvSpPr>
      <xdr:spPr>
        <a:xfrm>
          <a:off x="6434552" y="3323389"/>
          <a:ext cx="665080" cy="3826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1">
                  <a:lumMod val="75000"/>
                  <a:lumOff val="25000"/>
                </a:schemeClr>
              </a:solidFill>
            </a:rPr>
            <a:t>Senior</a:t>
          </a:r>
        </a:p>
      </xdr:txBody>
    </xdr:sp>
    <xdr:clientData/>
  </xdr:twoCellAnchor>
  <xdr:twoCellAnchor>
    <xdr:from>
      <xdr:col>10</xdr:col>
      <xdr:colOff>328861</xdr:colOff>
      <xdr:row>23</xdr:row>
      <xdr:rowOff>71521</xdr:rowOff>
    </xdr:from>
    <xdr:to>
      <xdr:col>11</xdr:col>
      <xdr:colOff>384007</xdr:colOff>
      <xdr:row>25</xdr:row>
      <xdr:rowOff>135021</xdr:rowOff>
    </xdr:to>
    <xdr:sp macro="" textlink="">
      <xdr:nvSpPr>
        <xdr:cNvPr id="51" name="TextBox 50">
          <a:extLst>
            <a:ext uri="{FF2B5EF4-FFF2-40B4-BE49-F238E27FC236}">
              <a16:creationId xmlns:a16="http://schemas.microsoft.com/office/drawing/2014/main" id="{F8F2FEC0-402A-4163-826C-FF85136905FF}"/>
            </a:ext>
          </a:extLst>
        </xdr:cNvPr>
        <xdr:cNvSpPr txBox="1"/>
      </xdr:nvSpPr>
      <xdr:spPr>
        <a:xfrm>
          <a:off x="6428203" y="3722771"/>
          <a:ext cx="66508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1">
                  <a:lumMod val="75000"/>
                  <a:lumOff val="25000"/>
                </a:schemeClr>
              </a:solidFill>
            </a:rPr>
            <a:t>Adult</a:t>
          </a:r>
        </a:p>
      </xdr:txBody>
    </xdr:sp>
    <xdr:clientData/>
  </xdr:twoCellAnchor>
  <xdr:twoCellAnchor>
    <xdr:from>
      <xdr:col>6</xdr:col>
      <xdr:colOff>327527</xdr:colOff>
      <xdr:row>33</xdr:row>
      <xdr:rowOff>66842</xdr:rowOff>
    </xdr:from>
    <xdr:to>
      <xdr:col>12</xdr:col>
      <xdr:colOff>153737</xdr:colOff>
      <xdr:row>43</xdr:row>
      <xdr:rowOff>147053</xdr:rowOff>
    </xdr:to>
    <xdr:graphicFrame macro="">
      <xdr:nvGraphicFramePr>
        <xdr:cNvPr id="52" name="Chart 51">
          <a:extLst>
            <a:ext uri="{FF2B5EF4-FFF2-40B4-BE49-F238E27FC236}">
              <a16:creationId xmlns:a16="http://schemas.microsoft.com/office/drawing/2014/main" id="{11E07FE7-6187-4B56-AAD3-F9501B1FB5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426118</xdr:colOff>
      <xdr:row>32</xdr:row>
      <xdr:rowOff>7019</xdr:rowOff>
    </xdr:from>
    <xdr:to>
      <xdr:col>10</xdr:col>
      <xdr:colOff>299452</xdr:colOff>
      <xdr:row>34</xdr:row>
      <xdr:rowOff>72190</xdr:rowOff>
    </xdr:to>
    <xdr:sp macro="" textlink="">
      <xdr:nvSpPr>
        <xdr:cNvPr id="53" name="TextBox 52">
          <a:extLst>
            <a:ext uri="{FF2B5EF4-FFF2-40B4-BE49-F238E27FC236}">
              <a16:creationId xmlns:a16="http://schemas.microsoft.com/office/drawing/2014/main" id="{FC710EDC-E0D3-4901-8709-F8E974B7BBA2}"/>
            </a:ext>
          </a:extLst>
        </xdr:cNvPr>
        <xdr:cNvSpPr txBox="1"/>
      </xdr:nvSpPr>
      <xdr:spPr>
        <a:xfrm>
          <a:off x="4085723" y="5087019"/>
          <a:ext cx="2313071" cy="3826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bg1"/>
              </a:solidFill>
            </a:rPr>
            <a:t>Monthly Admissions Trend</a:t>
          </a:r>
        </a:p>
      </xdr:txBody>
    </xdr:sp>
    <xdr:clientData/>
  </xdr:twoCellAnchor>
  <xdr:twoCellAnchor>
    <xdr:from>
      <xdr:col>0</xdr:col>
      <xdr:colOff>121369</xdr:colOff>
      <xdr:row>31</xdr:row>
      <xdr:rowOff>121044</xdr:rowOff>
    </xdr:from>
    <xdr:to>
      <xdr:col>6</xdr:col>
      <xdr:colOff>134069</xdr:colOff>
      <xdr:row>44</xdr:row>
      <xdr:rowOff>114694</xdr:rowOff>
    </xdr:to>
    <xdr:sp macro="" textlink="">
      <xdr:nvSpPr>
        <xdr:cNvPr id="54" name="Rectangle: Rounded Corners 53">
          <a:extLst>
            <a:ext uri="{FF2B5EF4-FFF2-40B4-BE49-F238E27FC236}">
              <a16:creationId xmlns:a16="http://schemas.microsoft.com/office/drawing/2014/main" id="{3E77C0F6-0DBD-4718-8C30-934DF52BE867}"/>
            </a:ext>
          </a:extLst>
        </xdr:cNvPr>
        <xdr:cNvSpPr/>
      </xdr:nvSpPr>
      <xdr:spPr>
        <a:xfrm>
          <a:off x="121369" y="5042294"/>
          <a:ext cx="3672305" cy="2057400"/>
        </a:xfrm>
        <a:prstGeom prst="roundRect">
          <a:avLst>
            <a:gd name="adj" fmla="val 10710"/>
          </a:avLst>
        </a:prstGeom>
        <a:solidFill>
          <a:srgbClr val="002060"/>
        </a:solidFill>
        <a:ln>
          <a:solidFill>
            <a:schemeClr val="bg1">
              <a:lumMod val="65000"/>
            </a:schemeClr>
          </a:solidFill>
        </a:ln>
        <a:effectLst>
          <a:outerShdw blurRad="571500" dir="4620000" algn="tl" rotWithShape="0">
            <a:schemeClr val="tx1">
              <a:lumMod val="95000"/>
              <a:lumOff val="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119864</xdr:colOff>
      <xdr:row>33</xdr:row>
      <xdr:rowOff>114646</xdr:rowOff>
    </xdr:from>
    <xdr:to>
      <xdr:col>6</xdr:col>
      <xdr:colOff>132564</xdr:colOff>
      <xdr:row>44</xdr:row>
      <xdr:rowOff>127346</xdr:rowOff>
    </xdr:to>
    <xdr:sp macro="" textlink="">
      <xdr:nvSpPr>
        <xdr:cNvPr id="55" name="Rectangle: Rounded Corners 54">
          <a:extLst>
            <a:ext uri="{FF2B5EF4-FFF2-40B4-BE49-F238E27FC236}">
              <a16:creationId xmlns:a16="http://schemas.microsoft.com/office/drawing/2014/main" id="{7D338678-0A12-4F4C-B010-36043DCBDCEB}"/>
            </a:ext>
          </a:extLst>
        </xdr:cNvPr>
        <xdr:cNvSpPr/>
      </xdr:nvSpPr>
      <xdr:spPr>
        <a:xfrm>
          <a:off x="119864" y="5353396"/>
          <a:ext cx="3672305" cy="1758950"/>
        </a:xfrm>
        <a:prstGeom prst="roundRect">
          <a:avLst>
            <a:gd name="adj" fmla="val 10710"/>
          </a:avLst>
        </a:prstGeom>
        <a:solidFill>
          <a:schemeClr val="bg1"/>
        </a:solidFill>
        <a:ln>
          <a:solidFill>
            <a:schemeClr val="bg1">
              <a:lumMod val="65000"/>
            </a:schemeClr>
          </a:solidFill>
        </a:ln>
        <a:effectLst>
          <a:outerShdw blurRad="571500" dir="4620000" algn="tl" rotWithShape="0">
            <a:schemeClr val="tx1">
              <a:lumMod val="95000"/>
              <a:lumOff val="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158751</xdr:colOff>
      <xdr:row>33</xdr:row>
      <xdr:rowOff>48315</xdr:rowOff>
    </xdr:from>
    <xdr:to>
      <xdr:col>6</xdr:col>
      <xdr:colOff>79375</xdr:colOff>
      <xdr:row>45</xdr:row>
      <xdr:rowOff>9338</xdr:rowOff>
    </xdr:to>
    <xdr:graphicFrame macro="">
      <xdr:nvGraphicFramePr>
        <xdr:cNvPr id="57" name="Chart 56">
          <a:extLst>
            <a:ext uri="{FF2B5EF4-FFF2-40B4-BE49-F238E27FC236}">
              <a16:creationId xmlns:a16="http://schemas.microsoft.com/office/drawing/2014/main" id="{64D53549-290D-4561-A4D2-CA2E5F8BCE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251680</xdr:colOff>
      <xdr:row>31</xdr:row>
      <xdr:rowOff>138875</xdr:rowOff>
    </xdr:from>
    <xdr:to>
      <xdr:col>5</xdr:col>
      <xdr:colOff>242795</xdr:colOff>
      <xdr:row>34</xdr:row>
      <xdr:rowOff>45296</xdr:rowOff>
    </xdr:to>
    <xdr:sp macro="" textlink="">
      <xdr:nvSpPr>
        <xdr:cNvPr id="58" name="TextBox 57">
          <a:extLst>
            <a:ext uri="{FF2B5EF4-FFF2-40B4-BE49-F238E27FC236}">
              <a16:creationId xmlns:a16="http://schemas.microsoft.com/office/drawing/2014/main" id="{577C3D69-1653-4165-BBA1-B60AE0092D6E}"/>
            </a:ext>
          </a:extLst>
        </xdr:cNvPr>
        <xdr:cNvSpPr txBox="1"/>
      </xdr:nvSpPr>
      <xdr:spPr>
        <a:xfrm>
          <a:off x="251680" y="5060125"/>
          <a:ext cx="3040786" cy="3826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bg1"/>
              </a:solidFill>
            </a:rPr>
            <a:t>Average</a:t>
          </a:r>
          <a:r>
            <a:rPr lang="en-US" sz="1200" b="1" baseline="0">
              <a:solidFill>
                <a:schemeClr val="bg1"/>
              </a:solidFill>
            </a:rPr>
            <a:t> Length of Stay by Diagnosis</a:t>
          </a:r>
          <a:endParaRPr lang="en-US" sz="1200" b="1">
            <a:solidFill>
              <a:schemeClr val="bg1"/>
            </a:solidFill>
          </a:endParaRPr>
        </a:p>
      </xdr:txBody>
    </xdr:sp>
    <xdr:clientData/>
  </xdr:twoCellAnchor>
  <xdr:twoCellAnchor>
    <xdr:from>
      <xdr:col>1</xdr:col>
      <xdr:colOff>602130</xdr:colOff>
      <xdr:row>11</xdr:row>
      <xdr:rowOff>70970</xdr:rowOff>
    </xdr:from>
    <xdr:to>
      <xdr:col>3</xdr:col>
      <xdr:colOff>289485</xdr:colOff>
      <xdr:row>14</xdr:row>
      <xdr:rowOff>102721</xdr:rowOff>
    </xdr:to>
    <xdr:sp macro="" textlink="Analysis!S4">
      <xdr:nvSpPr>
        <xdr:cNvPr id="59" name="TextBox 58">
          <a:extLst>
            <a:ext uri="{FF2B5EF4-FFF2-40B4-BE49-F238E27FC236}">
              <a16:creationId xmlns:a16="http://schemas.microsoft.com/office/drawing/2014/main" id="{8696C2E5-BE0C-4D59-A74E-E53751CF74ED}"/>
            </a:ext>
          </a:extLst>
        </xdr:cNvPr>
        <xdr:cNvSpPr txBox="1"/>
      </xdr:nvSpPr>
      <xdr:spPr>
        <a:xfrm>
          <a:off x="1212064" y="1817220"/>
          <a:ext cx="907224" cy="508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25A3774-A36C-4909-809A-7583C8E9DB00}" type="TxLink">
            <a:rPr lang="en-US" sz="3200" b="1" i="0" u="none" strike="noStrike">
              <a:solidFill>
                <a:srgbClr val="000000"/>
              </a:solidFill>
              <a:latin typeface="Arial"/>
              <a:cs typeface="Arial"/>
            </a:rPr>
            <a:pPr/>
            <a:t>100</a:t>
          </a:fld>
          <a:endParaRPr lang="en-US" sz="3200" b="1">
            <a:solidFill>
              <a:schemeClr val="tx1">
                <a:lumMod val="85000"/>
                <a:lumOff val="15000"/>
              </a:schemeClr>
            </a:solidFill>
          </a:endParaRPr>
        </a:p>
      </xdr:txBody>
    </xdr:sp>
    <xdr:clientData/>
  </xdr:twoCellAnchor>
  <xdr:twoCellAnchor editAs="oneCell">
    <xdr:from>
      <xdr:col>0</xdr:col>
      <xdr:colOff>177427</xdr:colOff>
      <xdr:row>10</xdr:row>
      <xdr:rowOff>46690</xdr:rowOff>
    </xdr:from>
    <xdr:to>
      <xdr:col>1</xdr:col>
      <xdr:colOff>484842</xdr:colOff>
      <xdr:row>16</xdr:row>
      <xdr:rowOff>8590</xdr:rowOff>
    </xdr:to>
    <xdr:pic>
      <xdr:nvPicPr>
        <xdr:cNvPr id="9" name="Graphic 8" descr="Users with solid fill">
          <a:extLst>
            <a:ext uri="{FF2B5EF4-FFF2-40B4-BE49-F238E27FC236}">
              <a16:creationId xmlns:a16="http://schemas.microsoft.com/office/drawing/2014/main" id="{0964C777-134F-4B2F-83A3-4C649EDE0A1B}"/>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77427" y="1634190"/>
          <a:ext cx="917349" cy="914400"/>
        </a:xfrm>
        <a:prstGeom prst="rect">
          <a:avLst/>
        </a:prstGeom>
      </xdr:spPr>
    </xdr:pic>
    <xdr:clientData/>
  </xdr:twoCellAnchor>
  <xdr:twoCellAnchor>
    <xdr:from>
      <xdr:col>0</xdr:col>
      <xdr:colOff>457573</xdr:colOff>
      <xdr:row>9</xdr:row>
      <xdr:rowOff>42955</xdr:rowOff>
    </xdr:from>
    <xdr:to>
      <xdr:col>3</xdr:col>
      <xdr:colOff>140073</xdr:colOff>
      <xdr:row>11</xdr:row>
      <xdr:rowOff>106455</xdr:rowOff>
    </xdr:to>
    <xdr:sp macro="" textlink="">
      <xdr:nvSpPr>
        <xdr:cNvPr id="60" name="TextBox 59">
          <a:extLst>
            <a:ext uri="{FF2B5EF4-FFF2-40B4-BE49-F238E27FC236}">
              <a16:creationId xmlns:a16="http://schemas.microsoft.com/office/drawing/2014/main" id="{7DDEE7C6-BADA-4E3C-A6CB-B7CE93451332}"/>
            </a:ext>
          </a:extLst>
        </xdr:cNvPr>
        <xdr:cNvSpPr txBox="1"/>
      </xdr:nvSpPr>
      <xdr:spPr>
        <a:xfrm>
          <a:off x="457573" y="1471705"/>
          <a:ext cx="1512303"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00B0F0"/>
              </a:solidFill>
            </a:rPr>
            <a:t>Total</a:t>
          </a:r>
          <a:r>
            <a:rPr lang="en-US" sz="1200" b="1" baseline="0">
              <a:solidFill>
                <a:srgbClr val="00B0F0"/>
              </a:solidFill>
            </a:rPr>
            <a:t> Admissions</a:t>
          </a:r>
          <a:endParaRPr lang="en-US" sz="1200" b="1">
            <a:solidFill>
              <a:srgbClr val="00B0F0"/>
            </a:solidFill>
          </a:endParaRPr>
        </a:p>
      </xdr:txBody>
    </xdr:sp>
    <xdr:clientData/>
  </xdr:twoCellAnchor>
  <xdr:twoCellAnchor>
    <xdr:from>
      <xdr:col>0</xdr:col>
      <xdr:colOff>185269</xdr:colOff>
      <xdr:row>14</xdr:row>
      <xdr:rowOff>148662</xdr:rowOff>
    </xdr:from>
    <xdr:to>
      <xdr:col>3</xdr:col>
      <xdr:colOff>392206</xdr:colOff>
      <xdr:row>16</xdr:row>
      <xdr:rowOff>84044</xdr:rowOff>
    </xdr:to>
    <xdr:sp macro="" textlink="">
      <xdr:nvSpPr>
        <xdr:cNvPr id="61" name="TextBox 60">
          <a:extLst>
            <a:ext uri="{FF2B5EF4-FFF2-40B4-BE49-F238E27FC236}">
              <a16:creationId xmlns:a16="http://schemas.microsoft.com/office/drawing/2014/main" id="{009BC7F3-C8BC-4ACA-B3B2-2BDAAE6A18BF}"/>
            </a:ext>
          </a:extLst>
        </xdr:cNvPr>
        <xdr:cNvSpPr txBox="1"/>
      </xdr:nvSpPr>
      <xdr:spPr>
        <a:xfrm>
          <a:off x="185269" y="2371162"/>
          <a:ext cx="2036740" cy="2528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chemeClr val="tx1">
                  <a:lumMod val="75000"/>
                  <a:lumOff val="25000"/>
                </a:schemeClr>
              </a:solidFill>
            </a:rPr>
            <a:t>Total</a:t>
          </a:r>
          <a:r>
            <a:rPr lang="en-US" sz="1000" b="1" baseline="0">
              <a:solidFill>
                <a:schemeClr val="tx1">
                  <a:lumMod val="75000"/>
                  <a:lumOff val="25000"/>
                </a:schemeClr>
              </a:solidFill>
            </a:rPr>
            <a:t> Number of Admissions</a:t>
          </a:r>
          <a:endParaRPr lang="en-US" sz="1000" b="1">
            <a:solidFill>
              <a:schemeClr val="tx1">
                <a:lumMod val="75000"/>
                <a:lumOff val="25000"/>
              </a:schemeClr>
            </a:solidFill>
          </a:endParaRPr>
        </a:p>
      </xdr:txBody>
    </xdr:sp>
    <xdr:clientData/>
  </xdr:twoCellAnchor>
  <xdr:twoCellAnchor>
    <xdr:from>
      <xdr:col>5</xdr:col>
      <xdr:colOff>392211</xdr:colOff>
      <xdr:row>11</xdr:row>
      <xdr:rowOff>120649</xdr:rowOff>
    </xdr:from>
    <xdr:to>
      <xdr:col>7</xdr:col>
      <xdr:colOff>242798</xdr:colOff>
      <xdr:row>14</xdr:row>
      <xdr:rowOff>152400</xdr:rowOff>
    </xdr:to>
    <xdr:sp macro="" textlink="Analysis!S11">
      <xdr:nvSpPr>
        <xdr:cNvPr id="62" name="TextBox 61">
          <a:extLst>
            <a:ext uri="{FF2B5EF4-FFF2-40B4-BE49-F238E27FC236}">
              <a16:creationId xmlns:a16="http://schemas.microsoft.com/office/drawing/2014/main" id="{2C9F97D8-D01B-4FA8-910E-EF1EB392EEC1}"/>
            </a:ext>
          </a:extLst>
        </xdr:cNvPr>
        <xdr:cNvSpPr txBox="1"/>
      </xdr:nvSpPr>
      <xdr:spPr>
        <a:xfrm>
          <a:off x="3441882" y="1866899"/>
          <a:ext cx="1070455" cy="508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3F739FD-4D13-43AD-BB20-9C2B4A7301C5}" type="TxLink">
            <a:rPr lang="en-US" sz="3200" b="1" i="0" u="none" strike="noStrike">
              <a:solidFill>
                <a:srgbClr val="000000"/>
              </a:solidFill>
              <a:latin typeface="Arial"/>
              <a:cs typeface="Arial"/>
            </a:rPr>
            <a:pPr/>
            <a:t>7.60</a:t>
          </a:fld>
          <a:endParaRPr lang="en-US" sz="3200" b="1">
            <a:solidFill>
              <a:schemeClr val="tx1">
                <a:lumMod val="85000"/>
                <a:lumOff val="15000"/>
              </a:schemeClr>
            </a:solidFill>
          </a:endParaRPr>
        </a:p>
      </xdr:txBody>
    </xdr:sp>
    <xdr:clientData/>
  </xdr:twoCellAnchor>
  <xdr:twoCellAnchor editAs="oneCell">
    <xdr:from>
      <xdr:col>4</xdr:col>
      <xdr:colOff>93386</xdr:colOff>
      <xdr:row>11</xdr:row>
      <xdr:rowOff>9339</xdr:rowOff>
    </xdr:from>
    <xdr:to>
      <xdr:col>5</xdr:col>
      <xdr:colOff>283072</xdr:colOff>
      <xdr:row>16</xdr:row>
      <xdr:rowOff>12260</xdr:rowOff>
    </xdr:to>
    <xdr:pic>
      <xdr:nvPicPr>
        <xdr:cNvPr id="12" name="Picture 11">
          <a:extLst>
            <a:ext uri="{FF2B5EF4-FFF2-40B4-BE49-F238E27FC236}">
              <a16:creationId xmlns:a16="http://schemas.microsoft.com/office/drawing/2014/main" id="{BB40DE47-91C4-4759-A2B2-BA2703CFB816}"/>
            </a:ext>
          </a:extLst>
        </xdr:cNvPr>
        <xdr:cNvPicPr>
          <a:picLocks noChangeAspect="1"/>
        </xdr:cNvPicPr>
      </xdr:nvPicPr>
      <xdr:blipFill>
        <a:blip xmlns:r="http://schemas.openxmlformats.org/officeDocument/2006/relationships" r:embed="rId9" cstate="print">
          <a:duotone>
            <a:schemeClr val="accent6">
              <a:shade val="45000"/>
              <a:satMod val="135000"/>
            </a:schemeClr>
            <a:prstClr val="white"/>
          </a:duotone>
          <a:extLst>
            <a:ext uri="{BEBA8EAE-BF5A-486C-A8C5-ECC9F3942E4B}">
              <a14:imgProps xmlns:a14="http://schemas.microsoft.com/office/drawing/2010/main">
                <a14:imgLayer r:embed="rId10">
                  <a14:imgEffect>
                    <a14:colorTemperature colorTemp="4700"/>
                  </a14:imgEffect>
                </a14:imgLayer>
              </a14:imgProps>
            </a:ext>
            <a:ext uri="{28A0092B-C50C-407E-A947-70E740481C1C}">
              <a14:useLocalDpi xmlns:a14="http://schemas.microsoft.com/office/drawing/2010/main" val="0"/>
            </a:ext>
          </a:extLst>
        </a:blip>
        <a:stretch>
          <a:fillRect/>
        </a:stretch>
      </xdr:blipFill>
      <xdr:spPr>
        <a:xfrm>
          <a:off x="2533123" y="1755589"/>
          <a:ext cx="799620" cy="796671"/>
        </a:xfrm>
        <a:prstGeom prst="rect">
          <a:avLst/>
        </a:prstGeom>
      </xdr:spPr>
    </xdr:pic>
    <xdr:clientData/>
  </xdr:twoCellAnchor>
  <xdr:twoCellAnchor>
    <xdr:from>
      <xdr:col>4</xdr:col>
      <xdr:colOff>21664</xdr:colOff>
      <xdr:row>9</xdr:row>
      <xdr:rowOff>92635</xdr:rowOff>
    </xdr:from>
    <xdr:to>
      <xdr:col>7</xdr:col>
      <xdr:colOff>140073</xdr:colOff>
      <xdr:row>11</xdr:row>
      <xdr:rowOff>156135</xdr:rowOff>
    </xdr:to>
    <xdr:sp macro="" textlink="">
      <xdr:nvSpPr>
        <xdr:cNvPr id="63" name="TextBox 62">
          <a:extLst>
            <a:ext uri="{FF2B5EF4-FFF2-40B4-BE49-F238E27FC236}">
              <a16:creationId xmlns:a16="http://schemas.microsoft.com/office/drawing/2014/main" id="{9772100D-E927-4AC1-9A8A-345E119C2140}"/>
            </a:ext>
          </a:extLst>
        </xdr:cNvPr>
        <xdr:cNvSpPr txBox="1"/>
      </xdr:nvSpPr>
      <xdr:spPr>
        <a:xfrm>
          <a:off x="2461401" y="1521385"/>
          <a:ext cx="1948211"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3298A0"/>
              </a:solidFill>
            </a:rPr>
            <a:t>Average</a:t>
          </a:r>
          <a:r>
            <a:rPr lang="en-US" sz="1200" b="1" baseline="0">
              <a:solidFill>
                <a:srgbClr val="3298A0"/>
              </a:solidFill>
            </a:rPr>
            <a:t> Length of Stay</a:t>
          </a:r>
          <a:endParaRPr lang="en-US" sz="1200" b="1">
            <a:solidFill>
              <a:srgbClr val="3298A0"/>
            </a:solidFill>
          </a:endParaRPr>
        </a:p>
      </xdr:txBody>
    </xdr:sp>
    <xdr:clientData/>
  </xdr:twoCellAnchor>
  <xdr:twoCellAnchor>
    <xdr:from>
      <xdr:col>5</xdr:col>
      <xdr:colOff>188261</xdr:colOff>
      <xdr:row>15</xdr:row>
      <xdr:rowOff>56030</xdr:rowOff>
    </xdr:from>
    <xdr:to>
      <xdr:col>6</xdr:col>
      <xdr:colOff>196106</xdr:colOff>
      <xdr:row>17</xdr:row>
      <xdr:rowOff>21664</xdr:rowOff>
    </xdr:to>
    <xdr:sp macro="" textlink="">
      <xdr:nvSpPr>
        <xdr:cNvPr id="64" name="TextBox 63">
          <a:extLst>
            <a:ext uri="{FF2B5EF4-FFF2-40B4-BE49-F238E27FC236}">
              <a16:creationId xmlns:a16="http://schemas.microsoft.com/office/drawing/2014/main" id="{45004439-68F7-49B7-B9AE-BAC78C611660}"/>
            </a:ext>
          </a:extLst>
        </xdr:cNvPr>
        <xdr:cNvSpPr txBox="1"/>
      </xdr:nvSpPr>
      <xdr:spPr>
        <a:xfrm>
          <a:off x="3237932" y="2437280"/>
          <a:ext cx="617779" cy="2831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chemeClr val="tx1">
                  <a:lumMod val="75000"/>
                  <a:lumOff val="25000"/>
                </a:schemeClr>
              </a:solidFill>
            </a:rPr>
            <a:t>Days</a:t>
          </a:r>
        </a:p>
      </xdr:txBody>
    </xdr:sp>
    <xdr:clientData/>
  </xdr:twoCellAnchor>
  <xdr:twoCellAnchor>
    <xdr:from>
      <xdr:col>9</xdr:col>
      <xdr:colOff>21665</xdr:colOff>
      <xdr:row>11</xdr:row>
      <xdr:rowOff>95623</xdr:rowOff>
    </xdr:from>
    <xdr:to>
      <xdr:col>9</xdr:col>
      <xdr:colOff>578970</xdr:colOff>
      <xdr:row>14</xdr:row>
      <xdr:rowOff>127374</xdr:rowOff>
    </xdr:to>
    <xdr:sp macro="" textlink="Analysis!U12">
      <xdr:nvSpPr>
        <xdr:cNvPr id="65" name="TextBox 64">
          <a:extLst>
            <a:ext uri="{FF2B5EF4-FFF2-40B4-BE49-F238E27FC236}">
              <a16:creationId xmlns:a16="http://schemas.microsoft.com/office/drawing/2014/main" id="{A0AE3D0E-0D18-4944-9E7D-3C635D463902}"/>
            </a:ext>
          </a:extLst>
        </xdr:cNvPr>
        <xdr:cNvSpPr txBox="1"/>
      </xdr:nvSpPr>
      <xdr:spPr>
        <a:xfrm>
          <a:off x="5511073" y="1841873"/>
          <a:ext cx="557305" cy="508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F6AA6EB-F1F3-4BD7-B0A2-6CD54F127CF9}" type="TxLink">
            <a:rPr lang="en-US" sz="3200" b="1" i="0" u="none" strike="noStrike">
              <a:solidFill>
                <a:srgbClr val="000000"/>
              </a:solidFill>
              <a:latin typeface="Arial"/>
              <a:cs typeface="Arial"/>
            </a:rPr>
            <a:pPr/>
            <a:t>6</a:t>
          </a:fld>
          <a:endParaRPr lang="en-US" sz="3200" b="1">
            <a:solidFill>
              <a:schemeClr val="tx1">
                <a:lumMod val="85000"/>
                <a:lumOff val="15000"/>
              </a:schemeClr>
            </a:solidFill>
          </a:endParaRPr>
        </a:p>
      </xdr:txBody>
    </xdr:sp>
    <xdr:clientData/>
  </xdr:twoCellAnchor>
  <xdr:twoCellAnchor>
    <xdr:from>
      <xdr:col>7</xdr:col>
      <xdr:colOff>379506</xdr:colOff>
      <xdr:row>9</xdr:row>
      <xdr:rowOff>114300</xdr:rowOff>
    </xdr:from>
    <xdr:to>
      <xdr:col>9</xdr:col>
      <xdr:colOff>541619</xdr:colOff>
      <xdr:row>11</xdr:row>
      <xdr:rowOff>37353</xdr:rowOff>
    </xdr:to>
    <xdr:sp macro="" textlink="">
      <xdr:nvSpPr>
        <xdr:cNvPr id="66" name="TextBox 65">
          <a:extLst>
            <a:ext uri="{FF2B5EF4-FFF2-40B4-BE49-F238E27FC236}">
              <a16:creationId xmlns:a16="http://schemas.microsoft.com/office/drawing/2014/main" id="{1DD0C9E7-24F2-4244-B0F8-6EB5F3FDDEE8}"/>
            </a:ext>
          </a:extLst>
        </xdr:cNvPr>
        <xdr:cNvSpPr txBox="1"/>
      </xdr:nvSpPr>
      <xdr:spPr>
        <a:xfrm>
          <a:off x="4649045" y="1543050"/>
          <a:ext cx="1381982" cy="2405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3298A0"/>
              </a:solidFill>
            </a:rPr>
            <a:t>Total</a:t>
          </a:r>
          <a:r>
            <a:rPr lang="en-US" sz="1200" b="1" baseline="0">
              <a:solidFill>
                <a:srgbClr val="3298A0"/>
              </a:solidFill>
            </a:rPr>
            <a:t> Hospitals</a:t>
          </a:r>
          <a:endParaRPr lang="en-US" sz="1200" b="1">
            <a:solidFill>
              <a:srgbClr val="3298A0"/>
            </a:solidFill>
          </a:endParaRPr>
        </a:p>
      </xdr:txBody>
    </xdr:sp>
    <xdr:clientData/>
  </xdr:twoCellAnchor>
  <xdr:twoCellAnchor>
    <xdr:from>
      <xdr:col>7</xdr:col>
      <xdr:colOff>378014</xdr:colOff>
      <xdr:row>15</xdr:row>
      <xdr:rowOff>49681</xdr:rowOff>
    </xdr:from>
    <xdr:to>
      <xdr:col>9</xdr:col>
      <xdr:colOff>597650</xdr:colOff>
      <xdr:row>16</xdr:row>
      <xdr:rowOff>140075</xdr:rowOff>
    </xdr:to>
    <xdr:sp macro="" textlink="">
      <xdr:nvSpPr>
        <xdr:cNvPr id="67" name="TextBox 66">
          <a:extLst>
            <a:ext uri="{FF2B5EF4-FFF2-40B4-BE49-F238E27FC236}">
              <a16:creationId xmlns:a16="http://schemas.microsoft.com/office/drawing/2014/main" id="{020065DD-7CC4-47E4-94F2-5E3EFAB80084}"/>
            </a:ext>
          </a:extLst>
        </xdr:cNvPr>
        <xdr:cNvSpPr txBox="1"/>
      </xdr:nvSpPr>
      <xdr:spPr>
        <a:xfrm>
          <a:off x="4647553" y="2430931"/>
          <a:ext cx="1439505" cy="2491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chemeClr val="tx1">
                  <a:lumMod val="75000"/>
                  <a:lumOff val="25000"/>
                </a:schemeClr>
              </a:solidFill>
            </a:rPr>
            <a:t>Number</a:t>
          </a:r>
          <a:r>
            <a:rPr lang="en-US" sz="1000" b="1" baseline="0">
              <a:solidFill>
                <a:schemeClr val="tx1">
                  <a:lumMod val="75000"/>
                  <a:lumOff val="25000"/>
                </a:schemeClr>
              </a:solidFill>
            </a:rPr>
            <a:t> of Hospitals</a:t>
          </a:r>
          <a:endParaRPr lang="en-US" sz="1000" b="1">
            <a:solidFill>
              <a:schemeClr val="tx1">
                <a:lumMod val="75000"/>
                <a:lumOff val="25000"/>
              </a:schemeClr>
            </a:solidFill>
          </a:endParaRPr>
        </a:p>
      </xdr:txBody>
    </xdr:sp>
    <xdr:clientData/>
  </xdr:twoCellAnchor>
  <xdr:twoCellAnchor editAs="oneCell">
    <xdr:from>
      <xdr:col>3</xdr:col>
      <xdr:colOff>577850</xdr:colOff>
      <xdr:row>0</xdr:row>
      <xdr:rowOff>66100</xdr:rowOff>
    </xdr:from>
    <xdr:to>
      <xdr:col>4</xdr:col>
      <xdr:colOff>409530</xdr:colOff>
      <xdr:row>3</xdr:row>
      <xdr:rowOff>29271</xdr:rowOff>
    </xdr:to>
    <xdr:pic>
      <xdr:nvPicPr>
        <xdr:cNvPr id="16" name="Picture 15">
          <a:extLst>
            <a:ext uri="{FF2B5EF4-FFF2-40B4-BE49-F238E27FC236}">
              <a16:creationId xmlns:a16="http://schemas.microsoft.com/office/drawing/2014/main" id="{4D0E59FC-1081-49C9-B4B3-F6E836ECE944}"/>
            </a:ext>
          </a:extLst>
        </xdr:cNvPr>
        <xdr:cNvPicPr>
          <a:picLocks noChangeAspect="1"/>
        </xdr:cNvPicPr>
      </xdr:nvPicPr>
      <xdr:blipFill>
        <a:blip xmlns:r="http://schemas.openxmlformats.org/officeDocument/2006/relationships" r:embed="rId11" cstate="print">
          <a:duotone>
            <a:prstClr val="black"/>
            <a:schemeClr val="accent6">
              <a:tint val="45000"/>
              <a:satMod val="400000"/>
            </a:schemeClr>
          </a:duotone>
          <a:extLst>
            <a:ext uri="{28A0092B-C50C-407E-A947-70E740481C1C}">
              <a14:useLocalDpi xmlns:a14="http://schemas.microsoft.com/office/drawing/2010/main" val="0"/>
            </a:ext>
          </a:extLst>
        </a:blip>
        <a:stretch>
          <a:fillRect/>
        </a:stretch>
      </xdr:blipFill>
      <xdr:spPr>
        <a:xfrm>
          <a:off x="2407653" y="66100"/>
          <a:ext cx="441614" cy="439421"/>
        </a:xfrm>
        <a:prstGeom prst="rect">
          <a:avLst/>
        </a:prstGeom>
      </xdr:spPr>
    </xdr:pic>
    <xdr:clientData/>
  </xdr:twoCellAnchor>
  <xdr:twoCellAnchor>
    <xdr:from>
      <xdr:col>12</xdr:col>
      <xdr:colOff>381000</xdr:colOff>
      <xdr:row>9</xdr:row>
      <xdr:rowOff>35485</xdr:rowOff>
    </xdr:from>
    <xdr:to>
      <xdr:col>16</xdr:col>
      <xdr:colOff>25400</xdr:colOff>
      <xdr:row>17</xdr:row>
      <xdr:rowOff>156135</xdr:rowOff>
    </xdr:to>
    <xdr:sp macro="" textlink="">
      <xdr:nvSpPr>
        <xdr:cNvPr id="68" name="Rectangle: Rounded Corners 67">
          <a:extLst>
            <a:ext uri="{FF2B5EF4-FFF2-40B4-BE49-F238E27FC236}">
              <a16:creationId xmlns:a16="http://schemas.microsoft.com/office/drawing/2014/main" id="{D1BDD2BB-AECE-44C9-BCD8-255A813E1448}"/>
            </a:ext>
          </a:extLst>
        </xdr:cNvPr>
        <xdr:cNvSpPr/>
      </xdr:nvSpPr>
      <xdr:spPr>
        <a:xfrm>
          <a:off x="7700211" y="1464235"/>
          <a:ext cx="2084136" cy="1390650"/>
        </a:xfrm>
        <a:prstGeom prst="roundRect">
          <a:avLst>
            <a:gd name="adj" fmla="val 10710"/>
          </a:avLst>
        </a:prstGeom>
        <a:solidFill>
          <a:schemeClr val="bg1"/>
        </a:solidFill>
        <a:ln>
          <a:solidFill>
            <a:schemeClr val="bg1">
              <a:lumMod val="65000"/>
            </a:schemeClr>
          </a:solidFill>
        </a:ln>
        <a:effectLst>
          <a:outerShdw blurRad="571500" dir="4620000" algn="tl" rotWithShape="0">
            <a:schemeClr val="tx1">
              <a:lumMod val="95000"/>
              <a:lumOff val="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593541</xdr:colOff>
      <xdr:row>11</xdr:row>
      <xdr:rowOff>116167</xdr:rowOff>
    </xdr:from>
    <xdr:to>
      <xdr:col>15</xdr:col>
      <xdr:colOff>587190</xdr:colOff>
      <xdr:row>14</xdr:row>
      <xdr:rowOff>147918</xdr:rowOff>
    </xdr:to>
    <xdr:sp macro="" textlink="Analysis!W4">
      <xdr:nvSpPr>
        <xdr:cNvPr id="69" name="TextBox 68">
          <a:extLst>
            <a:ext uri="{FF2B5EF4-FFF2-40B4-BE49-F238E27FC236}">
              <a16:creationId xmlns:a16="http://schemas.microsoft.com/office/drawing/2014/main" id="{CA9DD5FB-A33B-4F31-A987-EB3DB380D58E}"/>
            </a:ext>
          </a:extLst>
        </xdr:cNvPr>
        <xdr:cNvSpPr txBox="1"/>
      </xdr:nvSpPr>
      <xdr:spPr>
        <a:xfrm>
          <a:off x="8522686" y="1862417"/>
          <a:ext cx="1213517" cy="508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8ADBDC0-8A64-4922-8D73-8FDA5A631325}" type="TxLink">
            <a:rPr lang="en-US" sz="3200" b="1" i="0" u="none" strike="noStrike">
              <a:solidFill>
                <a:srgbClr val="000000"/>
              </a:solidFill>
              <a:latin typeface="Arial"/>
              <a:cs typeface="Arial"/>
            </a:rPr>
            <a:pPr/>
            <a:t>51.79</a:t>
          </a:fld>
          <a:endParaRPr lang="en-US" sz="3200" b="1">
            <a:solidFill>
              <a:schemeClr val="tx1">
                <a:lumMod val="85000"/>
                <a:lumOff val="15000"/>
              </a:schemeClr>
            </a:solidFill>
          </a:endParaRPr>
        </a:p>
      </xdr:txBody>
    </xdr:sp>
    <xdr:clientData/>
  </xdr:twoCellAnchor>
  <xdr:twoCellAnchor editAs="oneCell">
    <xdr:from>
      <xdr:col>12</xdr:col>
      <xdr:colOff>465422</xdr:colOff>
      <xdr:row>11</xdr:row>
      <xdr:rowOff>23905</xdr:rowOff>
    </xdr:from>
    <xdr:to>
      <xdr:col>14</xdr:col>
      <xdr:colOff>5234</xdr:colOff>
      <xdr:row>15</xdr:row>
      <xdr:rowOff>145302</xdr:rowOff>
    </xdr:to>
    <xdr:pic>
      <xdr:nvPicPr>
        <xdr:cNvPr id="71" name="Graphic 70" descr="User with solid fill">
          <a:extLst>
            <a:ext uri="{FF2B5EF4-FFF2-40B4-BE49-F238E27FC236}">
              <a16:creationId xmlns:a16="http://schemas.microsoft.com/office/drawing/2014/main" id="{94115F50-5399-4187-A062-5EC3BBDEBB6A}"/>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7784633" y="1770155"/>
          <a:ext cx="759680" cy="756397"/>
        </a:xfrm>
        <a:prstGeom prst="rect">
          <a:avLst/>
        </a:prstGeom>
      </xdr:spPr>
    </xdr:pic>
    <xdr:clientData/>
  </xdr:twoCellAnchor>
  <xdr:twoCellAnchor>
    <xdr:from>
      <xdr:col>13</xdr:col>
      <xdr:colOff>43328</xdr:colOff>
      <xdr:row>9</xdr:row>
      <xdr:rowOff>69476</xdr:rowOff>
    </xdr:from>
    <xdr:to>
      <xdr:col>15</xdr:col>
      <xdr:colOff>525557</xdr:colOff>
      <xdr:row>11</xdr:row>
      <xdr:rowOff>132976</xdr:rowOff>
    </xdr:to>
    <xdr:sp macro="" textlink="">
      <xdr:nvSpPr>
        <xdr:cNvPr id="72" name="TextBox 71">
          <a:extLst>
            <a:ext uri="{FF2B5EF4-FFF2-40B4-BE49-F238E27FC236}">
              <a16:creationId xmlns:a16="http://schemas.microsoft.com/office/drawing/2014/main" id="{01678B61-2A5E-421F-9FCF-D3046E8DFED9}"/>
            </a:ext>
          </a:extLst>
        </xdr:cNvPr>
        <xdr:cNvSpPr txBox="1"/>
      </xdr:nvSpPr>
      <xdr:spPr>
        <a:xfrm>
          <a:off x="7972473" y="1498226"/>
          <a:ext cx="1702097"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00B0F0"/>
              </a:solidFill>
            </a:rPr>
            <a:t>Average</a:t>
          </a:r>
          <a:r>
            <a:rPr lang="en-US" sz="1200" b="1" baseline="0">
              <a:solidFill>
                <a:srgbClr val="00B0F0"/>
              </a:solidFill>
            </a:rPr>
            <a:t> Patient Age</a:t>
          </a:r>
          <a:endParaRPr lang="en-US" sz="1200" b="1">
            <a:solidFill>
              <a:srgbClr val="00B0F0"/>
            </a:solidFill>
          </a:endParaRPr>
        </a:p>
      </xdr:txBody>
    </xdr:sp>
    <xdr:clientData/>
  </xdr:twoCellAnchor>
  <xdr:twoCellAnchor>
    <xdr:from>
      <xdr:col>14</xdr:col>
      <xdr:colOff>70223</xdr:colOff>
      <xdr:row>15</xdr:row>
      <xdr:rowOff>100106</xdr:rowOff>
    </xdr:from>
    <xdr:to>
      <xdr:col>15</xdr:col>
      <xdr:colOff>62752</xdr:colOff>
      <xdr:row>17</xdr:row>
      <xdr:rowOff>65743</xdr:rowOff>
    </xdr:to>
    <xdr:sp macro="" textlink="">
      <xdr:nvSpPr>
        <xdr:cNvPr id="73" name="TextBox 72">
          <a:extLst>
            <a:ext uri="{FF2B5EF4-FFF2-40B4-BE49-F238E27FC236}">
              <a16:creationId xmlns:a16="http://schemas.microsoft.com/office/drawing/2014/main" id="{DEC398BF-7A99-4C45-91CF-A6909CC1BF23}"/>
            </a:ext>
          </a:extLst>
        </xdr:cNvPr>
        <xdr:cNvSpPr txBox="1"/>
      </xdr:nvSpPr>
      <xdr:spPr>
        <a:xfrm>
          <a:off x="8609302" y="2481356"/>
          <a:ext cx="602463" cy="2831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chemeClr val="tx1">
                  <a:lumMod val="75000"/>
                  <a:lumOff val="25000"/>
                </a:schemeClr>
              </a:solidFill>
            </a:rPr>
            <a:t>Years</a:t>
          </a:r>
        </a:p>
      </xdr:txBody>
    </xdr:sp>
    <xdr:clientData/>
  </xdr:twoCellAnchor>
  <xdr:twoCellAnchor>
    <xdr:from>
      <xdr:col>11</xdr:col>
      <xdr:colOff>283888</xdr:colOff>
      <xdr:row>11</xdr:row>
      <xdr:rowOff>77693</xdr:rowOff>
    </xdr:from>
    <xdr:to>
      <xdr:col>12</xdr:col>
      <xdr:colOff>128869</xdr:colOff>
      <xdr:row>14</xdr:row>
      <xdr:rowOff>109444</xdr:rowOff>
    </xdr:to>
    <xdr:sp macro="" textlink="Analysis!Y12">
      <xdr:nvSpPr>
        <xdr:cNvPr id="74" name="TextBox 73">
          <a:extLst>
            <a:ext uri="{FF2B5EF4-FFF2-40B4-BE49-F238E27FC236}">
              <a16:creationId xmlns:a16="http://schemas.microsoft.com/office/drawing/2014/main" id="{9BB14437-C776-4C0D-B810-88990964C3E2}"/>
            </a:ext>
          </a:extLst>
        </xdr:cNvPr>
        <xdr:cNvSpPr txBox="1"/>
      </xdr:nvSpPr>
      <xdr:spPr>
        <a:xfrm>
          <a:off x="6993164" y="1823943"/>
          <a:ext cx="454916" cy="508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7AA4093-0453-4B6E-89FB-A45003749ABE}" type="TxLink">
            <a:rPr lang="en-US" sz="3200" b="1" i="0" u="none" strike="noStrike">
              <a:solidFill>
                <a:srgbClr val="000000"/>
              </a:solidFill>
              <a:latin typeface="Arial"/>
              <a:cs typeface="Arial"/>
            </a:rPr>
            <a:pPr/>
            <a:t>6</a:t>
          </a:fld>
          <a:endParaRPr lang="en-US" sz="3200" b="1">
            <a:solidFill>
              <a:schemeClr val="tx1">
                <a:lumMod val="85000"/>
                <a:lumOff val="15000"/>
              </a:schemeClr>
            </a:solidFill>
          </a:endParaRPr>
        </a:p>
      </xdr:txBody>
    </xdr:sp>
    <xdr:clientData/>
  </xdr:twoCellAnchor>
  <xdr:twoCellAnchor editAs="oneCell">
    <xdr:from>
      <xdr:col>10</xdr:col>
      <xdr:colOff>84421</xdr:colOff>
      <xdr:row>10</xdr:row>
      <xdr:rowOff>109819</xdr:rowOff>
    </xdr:from>
    <xdr:to>
      <xdr:col>11</xdr:col>
      <xdr:colOff>261848</xdr:colOff>
      <xdr:row>15</xdr:row>
      <xdr:rowOff>100481</xdr:rowOff>
    </xdr:to>
    <xdr:pic>
      <xdr:nvPicPr>
        <xdr:cNvPr id="76" name="Graphic 75" descr="Playbook with solid fill">
          <a:extLst>
            <a:ext uri="{FF2B5EF4-FFF2-40B4-BE49-F238E27FC236}">
              <a16:creationId xmlns:a16="http://schemas.microsoft.com/office/drawing/2014/main" id="{D49BD9A3-653B-40D0-BCD3-1915A6346505}"/>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6183763" y="1697319"/>
          <a:ext cx="787361" cy="784412"/>
        </a:xfrm>
        <a:prstGeom prst="rect">
          <a:avLst/>
        </a:prstGeom>
      </xdr:spPr>
    </xdr:pic>
    <xdr:clientData/>
  </xdr:twoCellAnchor>
  <xdr:twoCellAnchor>
    <xdr:from>
      <xdr:col>10</xdr:col>
      <xdr:colOff>133351</xdr:colOff>
      <xdr:row>9</xdr:row>
      <xdr:rowOff>98985</xdr:rowOff>
    </xdr:from>
    <xdr:to>
      <xdr:col>12</xdr:col>
      <xdr:colOff>295465</xdr:colOff>
      <xdr:row>11</xdr:row>
      <xdr:rowOff>22038</xdr:rowOff>
    </xdr:to>
    <xdr:sp macro="" textlink="">
      <xdr:nvSpPr>
        <xdr:cNvPr id="77" name="TextBox 76">
          <a:extLst>
            <a:ext uri="{FF2B5EF4-FFF2-40B4-BE49-F238E27FC236}">
              <a16:creationId xmlns:a16="http://schemas.microsoft.com/office/drawing/2014/main" id="{1B120429-B23C-4842-8A01-DDF9CA51C6BE}"/>
            </a:ext>
          </a:extLst>
        </xdr:cNvPr>
        <xdr:cNvSpPr txBox="1"/>
      </xdr:nvSpPr>
      <xdr:spPr>
        <a:xfrm>
          <a:off x="6232693" y="1527735"/>
          <a:ext cx="1381983" cy="2405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3298A0"/>
              </a:solidFill>
            </a:rPr>
            <a:t>Total</a:t>
          </a:r>
          <a:r>
            <a:rPr lang="en-US" sz="1200" b="1" baseline="0">
              <a:solidFill>
                <a:srgbClr val="3298A0"/>
              </a:solidFill>
            </a:rPr>
            <a:t> Diagnoses</a:t>
          </a:r>
          <a:endParaRPr lang="en-US" sz="1200" b="1">
            <a:solidFill>
              <a:srgbClr val="3298A0"/>
            </a:solidFill>
          </a:endParaRPr>
        </a:p>
      </xdr:txBody>
    </xdr:sp>
    <xdr:clientData/>
  </xdr:twoCellAnchor>
  <xdr:twoCellAnchor>
    <xdr:from>
      <xdr:col>10</xdr:col>
      <xdr:colOff>67985</xdr:colOff>
      <xdr:row>15</xdr:row>
      <xdr:rowOff>93382</xdr:rowOff>
    </xdr:from>
    <xdr:to>
      <xdr:col>12</xdr:col>
      <xdr:colOff>405656</xdr:colOff>
      <xdr:row>17</xdr:row>
      <xdr:rowOff>93383</xdr:rowOff>
    </xdr:to>
    <xdr:sp macro="" textlink="">
      <xdr:nvSpPr>
        <xdr:cNvPr id="78" name="TextBox 77">
          <a:extLst>
            <a:ext uri="{FF2B5EF4-FFF2-40B4-BE49-F238E27FC236}">
              <a16:creationId xmlns:a16="http://schemas.microsoft.com/office/drawing/2014/main" id="{949C07FA-6482-43FF-948F-71C3CD91F364}"/>
            </a:ext>
          </a:extLst>
        </xdr:cNvPr>
        <xdr:cNvSpPr txBox="1"/>
      </xdr:nvSpPr>
      <xdr:spPr>
        <a:xfrm>
          <a:off x="6167327" y="2474632"/>
          <a:ext cx="1557540" cy="317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chemeClr val="tx1">
                  <a:lumMod val="75000"/>
                  <a:lumOff val="25000"/>
                </a:schemeClr>
              </a:solidFill>
            </a:rPr>
            <a:t>Number</a:t>
          </a:r>
          <a:r>
            <a:rPr lang="en-US" sz="1000" b="1" baseline="0">
              <a:solidFill>
                <a:schemeClr val="tx1">
                  <a:lumMod val="75000"/>
                  <a:lumOff val="25000"/>
                </a:schemeClr>
              </a:solidFill>
            </a:rPr>
            <a:t> of Diagnoses</a:t>
          </a:r>
          <a:endParaRPr lang="en-US" sz="1000" b="1">
            <a:solidFill>
              <a:schemeClr val="tx1">
                <a:lumMod val="75000"/>
                <a:lumOff val="25000"/>
              </a:schemeClr>
            </a:solidFill>
          </a:endParaRPr>
        </a:p>
      </xdr:txBody>
    </xdr:sp>
    <xdr:clientData/>
  </xdr:twoCellAnchor>
  <xdr:twoCellAnchor>
    <xdr:from>
      <xdr:col>16</xdr:col>
      <xdr:colOff>123266</xdr:colOff>
      <xdr:row>9</xdr:row>
      <xdr:rowOff>32124</xdr:rowOff>
    </xdr:from>
    <xdr:to>
      <xdr:col>19</xdr:col>
      <xdr:colOff>298449</xdr:colOff>
      <xdr:row>17</xdr:row>
      <xdr:rowOff>152774</xdr:rowOff>
    </xdr:to>
    <xdr:sp macro="" textlink="">
      <xdr:nvSpPr>
        <xdr:cNvPr id="79" name="Rectangle: Rounded Corners 78">
          <a:extLst>
            <a:ext uri="{FF2B5EF4-FFF2-40B4-BE49-F238E27FC236}">
              <a16:creationId xmlns:a16="http://schemas.microsoft.com/office/drawing/2014/main" id="{68DB1503-5450-4F1E-A3AE-AB941FB5C2F2}"/>
            </a:ext>
          </a:extLst>
        </xdr:cNvPr>
        <xdr:cNvSpPr/>
      </xdr:nvSpPr>
      <xdr:spPr>
        <a:xfrm>
          <a:off x="9882213" y="1460874"/>
          <a:ext cx="2004986" cy="1390650"/>
        </a:xfrm>
        <a:prstGeom prst="roundRect">
          <a:avLst>
            <a:gd name="adj" fmla="val 10710"/>
          </a:avLst>
        </a:prstGeom>
        <a:solidFill>
          <a:schemeClr val="bg1"/>
        </a:solidFill>
        <a:ln>
          <a:solidFill>
            <a:schemeClr val="bg1">
              <a:lumMod val="65000"/>
            </a:schemeClr>
          </a:solidFill>
        </a:ln>
        <a:effectLst>
          <a:outerShdw blurRad="571500" dir="4620000" algn="tl" rotWithShape="0">
            <a:schemeClr val="tx1">
              <a:lumMod val="95000"/>
              <a:lumOff val="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558805</xdr:colOff>
      <xdr:row>11</xdr:row>
      <xdr:rowOff>119529</xdr:rowOff>
    </xdr:from>
    <xdr:to>
      <xdr:col>18</xdr:col>
      <xdr:colOff>406401</xdr:colOff>
      <xdr:row>14</xdr:row>
      <xdr:rowOff>151280</xdr:rowOff>
    </xdr:to>
    <xdr:sp macro="" textlink="Analysis!AA12">
      <xdr:nvSpPr>
        <xdr:cNvPr id="80" name="TextBox 79">
          <a:extLst>
            <a:ext uri="{FF2B5EF4-FFF2-40B4-BE49-F238E27FC236}">
              <a16:creationId xmlns:a16="http://schemas.microsoft.com/office/drawing/2014/main" id="{C182FAB2-F950-4777-89BE-6EADCEC0A047}"/>
            </a:ext>
          </a:extLst>
        </xdr:cNvPr>
        <xdr:cNvSpPr txBox="1"/>
      </xdr:nvSpPr>
      <xdr:spPr>
        <a:xfrm>
          <a:off x="10927687" y="1865779"/>
          <a:ext cx="457530" cy="508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78158E5-6932-49DC-9608-717990E58CAF}" type="TxLink">
            <a:rPr lang="en-US" sz="3200" b="1" i="0" u="none" strike="noStrike">
              <a:solidFill>
                <a:srgbClr val="000000"/>
              </a:solidFill>
              <a:latin typeface="Arial"/>
              <a:cs typeface="Arial"/>
            </a:rPr>
            <a:pPr/>
            <a:t>5</a:t>
          </a:fld>
          <a:endParaRPr lang="en-US" sz="3200" b="1">
            <a:solidFill>
              <a:schemeClr val="tx1">
                <a:lumMod val="85000"/>
                <a:lumOff val="15000"/>
              </a:schemeClr>
            </a:solidFill>
          </a:endParaRPr>
        </a:p>
      </xdr:txBody>
    </xdr:sp>
    <xdr:clientData/>
  </xdr:twoCellAnchor>
  <xdr:twoCellAnchor editAs="oneCell">
    <xdr:from>
      <xdr:col>16</xdr:col>
      <xdr:colOff>220612</xdr:colOff>
      <xdr:row>10</xdr:row>
      <xdr:rowOff>112059</xdr:rowOff>
    </xdr:from>
    <xdr:to>
      <xdr:col>17</xdr:col>
      <xdr:colOff>447488</xdr:colOff>
      <xdr:row>15</xdr:row>
      <xdr:rowOff>152400</xdr:rowOff>
    </xdr:to>
    <xdr:pic>
      <xdr:nvPicPr>
        <xdr:cNvPr id="82" name="Graphic 81" descr="Earth Globe - Asia with solid fill">
          <a:extLst>
            <a:ext uri="{FF2B5EF4-FFF2-40B4-BE49-F238E27FC236}">
              <a16:creationId xmlns:a16="http://schemas.microsoft.com/office/drawing/2014/main" id="{C5F9E049-A841-4A91-A4E2-4FD6DE1D40CC}"/>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9979559" y="1699559"/>
          <a:ext cx="836811" cy="834091"/>
        </a:xfrm>
        <a:prstGeom prst="rect">
          <a:avLst/>
        </a:prstGeom>
      </xdr:spPr>
    </xdr:pic>
    <xdr:clientData/>
  </xdr:twoCellAnchor>
  <xdr:twoCellAnchor>
    <xdr:from>
      <xdr:col>17</xdr:col>
      <xdr:colOff>150160</xdr:colOff>
      <xdr:row>9</xdr:row>
      <xdr:rowOff>95623</xdr:rowOff>
    </xdr:from>
    <xdr:to>
      <xdr:col>19</xdr:col>
      <xdr:colOff>312274</xdr:colOff>
      <xdr:row>11</xdr:row>
      <xdr:rowOff>18676</xdr:rowOff>
    </xdr:to>
    <xdr:sp macro="" textlink="">
      <xdr:nvSpPr>
        <xdr:cNvPr id="83" name="TextBox 82">
          <a:extLst>
            <a:ext uri="{FF2B5EF4-FFF2-40B4-BE49-F238E27FC236}">
              <a16:creationId xmlns:a16="http://schemas.microsoft.com/office/drawing/2014/main" id="{D60188C6-E05A-45F1-8235-56B1B6B4A959}"/>
            </a:ext>
          </a:extLst>
        </xdr:cNvPr>
        <xdr:cNvSpPr txBox="1"/>
      </xdr:nvSpPr>
      <xdr:spPr>
        <a:xfrm>
          <a:off x="10519042" y="1524373"/>
          <a:ext cx="1381982" cy="2405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3298A0"/>
              </a:solidFill>
            </a:rPr>
            <a:t>Total</a:t>
          </a:r>
          <a:r>
            <a:rPr lang="en-US" sz="1200" b="1" baseline="0">
              <a:solidFill>
                <a:srgbClr val="3298A0"/>
              </a:solidFill>
            </a:rPr>
            <a:t> Regions</a:t>
          </a:r>
          <a:endParaRPr lang="en-US" sz="1200" b="1">
            <a:solidFill>
              <a:srgbClr val="3298A0"/>
            </a:solidFill>
          </a:endParaRPr>
        </a:p>
      </xdr:txBody>
    </xdr:sp>
    <xdr:clientData/>
  </xdr:twoCellAnchor>
  <xdr:twoCellAnchor>
    <xdr:from>
      <xdr:col>16</xdr:col>
      <xdr:colOff>482229</xdr:colOff>
      <xdr:row>15</xdr:row>
      <xdr:rowOff>85911</xdr:rowOff>
    </xdr:from>
    <xdr:to>
      <xdr:col>19</xdr:col>
      <xdr:colOff>207686</xdr:colOff>
      <xdr:row>17</xdr:row>
      <xdr:rowOff>85912</xdr:rowOff>
    </xdr:to>
    <xdr:sp macro="" textlink="">
      <xdr:nvSpPr>
        <xdr:cNvPr id="84" name="TextBox 83">
          <a:extLst>
            <a:ext uri="{FF2B5EF4-FFF2-40B4-BE49-F238E27FC236}">
              <a16:creationId xmlns:a16="http://schemas.microsoft.com/office/drawing/2014/main" id="{363648D6-6A7E-461B-8B3B-99BA25D03D29}"/>
            </a:ext>
          </a:extLst>
        </xdr:cNvPr>
        <xdr:cNvSpPr txBox="1"/>
      </xdr:nvSpPr>
      <xdr:spPr>
        <a:xfrm>
          <a:off x="10241176" y="2467161"/>
          <a:ext cx="1555260" cy="317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tx1">
                  <a:lumMod val="75000"/>
                  <a:lumOff val="25000"/>
                </a:schemeClr>
              </a:solidFill>
            </a:rPr>
            <a:t>Number</a:t>
          </a:r>
          <a:r>
            <a:rPr lang="en-US" sz="1100" b="1" baseline="0">
              <a:solidFill>
                <a:schemeClr val="tx1">
                  <a:lumMod val="75000"/>
                  <a:lumOff val="25000"/>
                </a:schemeClr>
              </a:solidFill>
            </a:rPr>
            <a:t> of Regions</a:t>
          </a:r>
          <a:endParaRPr lang="en-US" sz="1100" b="1">
            <a:solidFill>
              <a:schemeClr val="tx1">
                <a:lumMod val="75000"/>
                <a:lumOff val="25000"/>
              </a:schemeClr>
            </a:solidFill>
          </a:endParaRPr>
        </a:p>
      </xdr:txBody>
    </xdr:sp>
    <xdr:clientData/>
  </xdr:twoCellAnchor>
  <xdr:twoCellAnchor>
    <xdr:from>
      <xdr:col>5</xdr:col>
      <xdr:colOff>51976</xdr:colOff>
      <xdr:row>2</xdr:row>
      <xdr:rowOff>19443</xdr:rowOff>
    </xdr:from>
    <xdr:to>
      <xdr:col>12</xdr:col>
      <xdr:colOff>133350</xdr:colOff>
      <xdr:row>3</xdr:row>
      <xdr:rowOff>120651</xdr:rowOff>
    </xdr:to>
    <xdr:sp macro="" textlink="">
      <xdr:nvSpPr>
        <xdr:cNvPr id="75" name="TextBox 74">
          <a:extLst>
            <a:ext uri="{FF2B5EF4-FFF2-40B4-BE49-F238E27FC236}">
              <a16:creationId xmlns:a16="http://schemas.microsoft.com/office/drawing/2014/main" id="{071CBA74-550E-415B-8DFB-8F93DE2931D0}"/>
            </a:ext>
          </a:extLst>
        </xdr:cNvPr>
        <xdr:cNvSpPr txBox="1"/>
      </xdr:nvSpPr>
      <xdr:spPr>
        <a:xfrm>
          <a:off x="3101647" y="336943"/>
          <a:ext cx="4350914" cy="2599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accent6">
                  <a:lumMod val="75000"/>
                </a:schemeClr>
              </a:solidFill>
            </a:rPr>
            <a:t>Overview</a:t>
          </a:r>
          <a:r>
            <a:rPr lang="en-US" sz="1200" b="1" baseline="0">
              <a:solidFill>
                <a:schemeClr val="accent6">
                  <a:lumMod val="75000"/>
                </a:schemeClr>
              </a:solidFill>
            </a:rPr>
            <a:t> of Patient Admissions &amp; Hospital Performance</a:t>
          </a:r>
          <a:endParaRPr lang="en-US" sz="1200" b="1">
            <a:solidFill>
              <a:schemeClr val="accent6">
                <a:lumMod val="75000"/>
              </a:schemeClr>
            </a:solidFill>
          </a:endParaRPr>
        </a:p>
      </xdr:txBody>
    </xdr:sp>
    <xdr:clientData/>
  </xdr:twoCellAnchor>
  <xdr:twoCellAnchor>
    <xdr:from>
      <xdr:col>4</xdr:col>
      <xdr:colOff>12700</xdr:colOff>
      <xdr:row>5</xdr:row>
      <xdr:rowOff>6350</xdr:rowOff>
    </xdr:from>
    <xdr:to>
      <xdr:col>7</xdr:col>
      <xdr:colOff>234950</xdr:colOff>
      <xdr:row>8</xdr:row>
      <xdr:rowOff>107950</xdr:rowOff>
    </xdr:to>
    <xdr:sp macro="" textlink="">
      <xdr:nvSpPr>
        <xdr:cNvPr id="85" name="Rectangle: Rounded Corners 84">
          <a:extLst>
            <a:ext uri="{FF2B5EF4-FFF2-40B4-BE49-F238E27FC236}">
              <a16:creationId xmlns:a16="http://schemas.microsoft.com/office/drawing/2014/main" id="{8928A88C-B952-4728-A547-737F7C2DA4C7}"/>
            </a:ext>
          </a:extLst>
        </xdr:cNvPr>
        <xdr:cNvSpPr/>
      </xdr:nvSpPr>
      <xdr:spPr>
        <a:xfrm>
          <a:off x="2452437" y="800100"/>
          <a:ext cx="2052052" cy="577850"/>
        </a:xfrm>
        <a:prstGeom prst="roundRect">
          <a:avLst/>
        </a:prstGeom>
        <a:solidFill>
          <a:schemeClr val="bg1">
            <a:lumMod val="9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311150</xdr:colOff>
      <xdr:row>5</xdr:row>
      <xdr:rowOff>19050</xdr:rowOff>
    </xdr:from>
    <xdr:to>
      <xdr:col>10</xdr:col>
      <xdr:colOff>279400</xdr:colOff>
      <xdr:row>8</xdr:row>
      <xdr:rowOff>120650</xdr:rowOff>
    </xdr:to>
    <xdr:sp macro="" textlink="">
      <xdr:nvSpPr>
        <xdr:cNvPr id="86" name="Rectangle: Rounded Corners 85">
          <a:extLst>
            <a:ext uri="{FF2B5EF4-FFF2-40B4-BE49-F238E27FC236}">
              <a16:creationId xmlns:a16="http://schemas.microsoft.com/office/drawing/2014/main" id="{56CAC8B4-16DC-4EB1-9556-15CE690CF4A0}"/>
            </a:ext>
          </a:extLst>
        </xdr:cNvPr>
        <xdr:cNvSpPr/>
      </xdr:nvSpPr>
      <xdr:spPr>
        <a:xfrm>
          <a:off x="4580689" y="812800"/>
          <a:ext cx="1798053" cy="577850"/>
        </a:xfrm>
        <a:prstGeom prst="roundRect">
          <a:avLst/>
        </a:prstGeom>
        <a:solidFill>
          <a:schemeClr val="bg1">
            <a:lumMod val="9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374650</xdr:colOff>
      <xdr:row>5</xdr:row>
      <xdr:rowOff>19050</xdr:rowOff>
    </xdr:from>
    <xdr:to>
      <xdr:col>13</xdr:col>
      <xdr:colOff>260350</xdr:colOff>
      <xdr:row>8</xdr:row>
      <xdr:rowOff>120650</xdr:rowOff>
    </xdr:to>
    <xdr:sp macro="" textlink="">
      <xdr:nvSpPr>
        <xdr:cNvPr id="87" name="Rectangle: Rounded Corners 86">
          <a:extLst>
            <a:ext uri="{FF2B5EF4-FFF2-40B4-BE49-F238E27FC236}">
              <a16:creationId xmlns:a16="http://schemas.microsoft.com/office/drawing/2014/main" id="{B72FD9E6-0001-4850-A3F6-E4FD18AB7121}"/>
            </a:ext>
          </a:extLst>
        </xdr:cNvPr>
        <xdr:cNvSpPr/>
      </xdr:nvSpPr>
      <xdr:spPr>
        <a:xfrm>
          <a:off x="6473992" y="812800"/>
          <a:ext cx="1715503" cy="577850"/>
        </a:xfrm>
        <a:prstGeom prst="roundRect">
          <a:avLst/>
        </a:prstGeom>
        <a:solidFill>
          <a:schemeClr val="bg1">
            <a:lumMod val="9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368300</xdr:colOff>
      <xdr:row>5</xdr:row>
      <xdr:rowOff>19050</xdr:rowOff>
    </xdr:from>
    <xdr:to>
      <xdr:col>16</xdr:col>
      <xdr:colOff>311150</xdr:colOff>
      <xdr:row>8</xdr:row>
      <xdr:rowOff>120650</xdr:rowOff>
    </xdr:to>
    <xdr:sp macro="" textlink="">
      <xdr:nvSpPr>
        <xdr:cNvPr id="88" name="Rectangle: Rounded Corners 87">
          <a:extLst>
            <a:ext uri="{FF2B5EF4-FFF2-40B4-BE49-F238E27FC236}">
              <a16:creationId xmlns:a16="http://schemas.microsoft.com/office/drawing/2014/main" id="{5C8FC386-98F0-46D4-9550-DFF976B7B3AD}"/>
            </a:ext>
          </a:extLst>
        </xdr:cNvPr>
        <xdr:cNvSpPr/>
      </xdr:nvSpPr>
      <xdr:spPr>
        <a:xfrm>
          <a:off x="8297445" y="812800"/>
          <a:ext cx="1772652" cy="577850"/>
        </a:xfrm>
        <a:prstGeom prst="roundRect">
          <a:avLst/>
        </a:prstGeom>
        <a:solidFill>
          <a:schemeClr val="bg1">
            <a:lumMod val="9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400050</xdr:colOff>
      <xdr:row>5</xdr:row>
      <xdr:rowOff>19050</xdr:rowOff>
    </xdr:from>
    <xdr:to>
      <xdr:col>19</xdr:col>
      <xdr:colOff>241300</xdr:colOff>
      <xdr:row>8</xdr:row>
      <xdr:rowOff>120650</xdr:rowOff>
    </xdr:to>
    <xdr:sp macro="" textlink="">
      <xdr:nvSpPr>
        <xdr:cNvPr id="89" name="Rectangle: Rounded Corners 88">
          <a:extLst>
            <a:ext uri="{FF2B5EF4-FFF2-40B4-BE49-F238E27FC236}">
              <a16:creationId xmlns:a16="http://schemas.microsoft.com/office/drawing/2014/main" id="{9FE1B629-9C84-4DC3-8928-8589CB5FEEF8}"/>
            </a:ext>
          </a:extLst>
        </xdr:cNvPr>
        <xdr:cNvSpPr/>
      </xdr:nvSpPr>
      <xdr:spPr>
        <a:xfrm>
          <a:off x="10158997" y="812800"/>
          <a:ext cx="1671053" cy="577850"/>
        </a:xfrm>
        <a:prstGeom prst="roundRect">
          <a:avLst/>
        </a:prstGeom>
        <a:solidFill>
          <a:schemeClr val="bg1">
            <a:lumMod val="9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190873</xdr:colOff>
      <xdr:row>5</xdr:row>
      <xdr:rowOff>0</xdr:rowOff>
    </xdr:from>
    <xdr:to>
      <xdr:col>9</xdr:col>
      <xdr:colOff>577850</xdr:colOff>
      <xdr:row>6</xdr:row>
      <xdr:rowOff>63500</xdr:rowOff>
    </xdr:to>
    <xdr:sp macro="" textlink="">
      <xdr:nvSpPr>
        <xdr:cNvPr id="91" name="TextBox 90">
          <a:extLst>
            <a:ext uri="{FF2B5EF4-FFF2-40B4-BE49-F238E27FC236}">
              <a16:creationId xmlns:a16="http://schemas.microsoft.com/office/drawing/2014/main" id="{5EAAEB75-B577-4A5E-A83C-F1584BAE3E73}"/>
            </a:ext>
          </a:extLst>
        </xdr:cNvPr>
        <xdr:cNvSpPr txBox="1"/>
      </xdr:nvSpPr>
      <xdr:spPr>
        <a:xfrm>
          <a:off x="5070347" y="793750"/>
          <a:ext cx="996911" cy="222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b="1" baseline="0">
              <a:solidFill>
                <a:schemeClr val="tx1">
                  <a:lumMod val="75000"/>
                  <a:lumOff val="25000"/>
                </a:schemeClr>
              </a:solidFill>
            </a:rPr>
            <a:t>Diagnosis	</a:t>
          </a:r>
          <a:endParaRPr lang="en-US" sz="900" b="1">
            <a:solidFill>
              <a:schemeClr val="tx1">
                <a:lumMod val="75000"/>
                <a:lumOff val="25000"/>
              </a:schemeClr>
            </a:solidFill>
          </a:endParaRPr>
        </a:p>
      </xdr:txBody>
    </xdr:sp>
    <xdr:clientData/>
  </xdr:twoCellAnchor>
  <xdr:twoCellAnchor>
    <xdr:from>
      <xdr:col>14</xdr:col>
      <xdr:colOff>285750</xdr:colOff>
      <xdr:row>4</xdr:row>
      <xdr:rowOff>157255</xdr:rowOff>
    </xdr:from>
    <xdr:to>
      <xdr:col>15</xdr:col>
      <xdr:colOff>387350</xdr:colOff>
      <xdr:row>6</xdr:row>
      <xdr:rowOff>57150</xdr:rowOff>
    </xdr:to>
    <xdr:sp macro="" textlink="">
      <xdr:nvSpPr>
        <xdr:cNvPr id="93" name="TextBox 92">
          <a:extLst>
            <a:ext uri="{FF2B5EF4-FFF2-40B4-BE49-F238E27FC236}">
              <a16:creationId xmlns:a16="http://schemas.microsoft.com/office/drawing/2014/main" id="{D576C6F2-C96C-416F-BE1B-CF3F9F3620C2}"/>
            </a:ext>
          </a:extLst>
        </xdr:cNvPr>
        <xdr:cNvSpPr txBox="1"/>
      </xdr:nvSpPr>
      <xdr:spPr>
        <a:xfrm>
          <a:off x="8824829" y="792255"/>
          <a:ext cx="711534" cy="2173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b="1" baseline="0">
              <a:solidFill>
                <a:schemeClr val="tx1">
                  <a:lumMod val="75000"/>
                  <a:lumOff val="25000"/>
                </a:schemeClr>
              </a:solidFill>
            </a:rPr>
            <a:t>Gender</a:t>
          </a:r>
          <a:endParaRPr lang="en-US" sz="900" b="1">
            <a:solidFill>
              <a:schemeClr val="tx1">
                <a:lumMod val="75000"/>
                <a:lumOff val="25000"/>
              </a:schemeClr>
            </a:solidFill>
          </a:endParaRPr>
        </a:p>
      </xdr:txBody>
    </xdr:sp>
    <xdr:clientData/>
  </xdr:twoCellAnchor>
  <xdr:twoCellAnchor editAs="oneCell">
    <xdr:from>
      <xdr:col>7</xdr:col>
      <xdr:colOff>323850</xdr:colOff>
      <xdr:row>5</xdr:row>
      <xdr:rowOff>141961</xdr:rowOff>
    </xdr:from>
    <xdr:to>
      <xdr:col>8</xdr:col>
      <xdr:colOff>149286</xdr:colOff>
      <xdr:row>8</xdr:row>
      <xdr:rowOff>99502</xdr:rowOff>
    </xdr:to>
    <xdr:pic>
      <xdr:nvPicPr>
        <xdr:cNvPr id="15" name="Graphic 14" descr="Document with solid fill">
          <a:extLst>
            <a:ext uri="{FF2B5EF4-FFF2-40B4-BE49-F238E27FC236}">
              <a16:creationId xmlns:a16="http://schemas.microsoft.com/office/drawing/2014/main" id="{F8440A43-680E-41A9-89DC-D17D7E27C171}"/>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593389" y="935711"/>
          <a:ext cx="435371" cy="433791"/>
        </a:xfrm>
        <a:prstGeom prst="rect">
          <a:avLst/>
        </a:prstGeom>
      </xdr:spPr>
    </xdr:pic>
    <xdr:clientData/>
  </xdr:twoCellAnchor>
  <xdr:twoCellAnchor editAs="oneCell">
    <xdr:from>
      <xdr:col>13</xdr:col>
      <xdr:colOff>381000</xdr:colOff>
      <xdr:row>5</xdr:row>
      <xdr:rowOff>29453</xdr:rowOff>
    </xdr:from>
    <xdr:to>
      <xdr:col>14</xdr:col>
      <xdr:colOff>280236</xdr:colOff>
      <xdr:row>8</xdr:row>
      <xdr:rowOff>62316</xdr:rowOff>
    </xdr:to>
    <xdr:pic>
      <xdr:nvPicPr>
        <xdr:cNvPr id="23" name="Graphic 22" descr="User with solid fill">
          <a:extLst>
            <a:ext uri="{FF2B5EF4-FFF2-40B4-BE49-F238E27FC236}">
              <a16:creationId xmlns:a16="http://schemas.microsoft.com/office/drawing/2014/main" id="{92449345-926F-43BA-9783-6D3ACF598824}"/>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8310145" y="823203"/>
          <a:ext cx="509170" cy="509113"/>
        </a:xfrm>
        <a:prstGeom prst="rect">
          <a:avLst/>
        </a:prstGeom>
      </xdr:spPr>
    </xdr:pic>
    <xdr:clientData/>
  </xdr:twoCellAnchor>
  <xdr:twoCellAnchor editAs="oneCell">
    <xdr:from>
      <xdr:col>4</xdr:col>
      <xdr:colOff>143868</xdr:colOff>
      <xdr:row>5</xdr:row>
      <xdr:rowOff>82550</xdr:rowOff>
    </xdr:from>
    <xdr:to>
      <xdr:col>4</xdr:col>
      <xdr:colOff>551987</xdr:colOff>
      <xdr:row>8</xdr:row>
      <xdr:rowOff>12700</xdr:rowOff>
    </xdr:to>
    <xdr:pic>
      <xdr:nvPicPr>
        <xdr:cNvPr id="95" name="Picture 94">
          <a:extLst>
            <a:ext uri="{FF2B5EF4-FFF2-40B4-BE49-F238E27FC236}">
              <a16:creationId xmlns:a16="http://schemas.microsoft.com/office/drawing/2014/main" id="{0746B759-23DB-4817-9F5C-FA00B59B75EF}"/>
            </a:ext>
          </a:extLst>
        </xdr:cNvPr>
        <xdr:cNvPicPr>
          <a:picLocks noChangeAspect="1"/>
        </xdr:cNvPicPr>
      </xdr:nvPicPr>
      <xdr:blipFill>
        <a:blip xmlns:r="http://schemas.openxmlformats.org/officeDocument/2006/relationships" r:embed="rId11" cstate="print">
          <a:duotone>
            <a:prstClr val="black"/>
            <a:schemeClr val="accent6">
              <a:tint val="45000"/>
              <a:satMod val="400000"/>
            </a:schemeClr>
          </a:duotone>
          <a:extLst>
            <a:ext uri="{28A0092B-C50C-407E-A947-70E740481C1C}">
              <a14:useLocalDpi xmlns:a14="http://schemas.microsoft.com/office/drawing/2010/main" val="0"/>
            </a:ext>
          </a:extLst>
        </a:blip>
        <a:stretch>
          <a:fillRect/>
        </a:stretch>
      </xdr:blipFill>
      <xdr:spPr>
        <a:xfrm>
          <a:off x="2583605" y="876300"/>
          <a:ext cx="408119" cy="406400"/>
        </a:xfrm>
        <a:prstGeom prst="rect">
          <a:avLst/>
        </a:prstGeom>
      </xdr:spPr>
    </xdr:pic>
    <xdr:clientData/>
  </xdr:twoCellAnchor>
  <xdr:twoCellAnchor>
    <xdr:from>
      <xdr:col>16</xdr:col>
      <xdr:colOff>508000</xdr:colOff>
      <xdr:row>5</xdr:row>
      <xdr:rowOff>152400</xdr:rowOff>
    </xdr:from>
    <xdr:to>
      <xdr:col>19</xdr:col>
      <xdr:colOff>114300</xdr:colOff>
      <xdr:row>7</xdr:row>
      <xdr:rowOff>146050</xdr:rowOff>
    </xdr:to>
    <xdr:sp macro="Clear_All_Filters" textlink="">
      <xdr:nvSpPr>
        <xdr:cNvPr id="56" name="Rectangle: Rounded Corners 55">
          <a:extLst>
            <a:ext uri="{FF2B5EF4-FFF2-40B4-BE49-F238E27FC236}">
              <a16:creationId xmlns:a16="http://schemas.microsoft.com/office/drawing/2014/main" id="{91650ABE-4A84-4387-B279-584C762215DF}"/>
            </a:ext>
          </a:extLst>
        </xdr:cNvPr>
        <xdr:cNvSpPr/>
      </xdr:nvSpPr>
      <xdr:spPr>
        <a:xfrm>
          <a:off x="10266947" y="946150"/>
          <a:ext cx="1436103" cy="311150"/>
        </a:xfrm>
        <a:prstGeom prst="roundRect">
          <a:avLst>
            <a:gd name="adj" fmla="val 30303"/>
          </a:avLst>
        </a:prstGeom>
        <a:solidFill>
          <a:schemeClr val="accent6">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1" baseline="0">
              <a:solidFill>
                <a:schemeClr val="lt1"/>
              </a:solidFill>
              <a:effectLst/>
              <a:latin typeface="+mn-lt"/>
              <a:ea typeface="+mn-ea"/>
              <a:cs typeface="+mn-cs"/>
            </a:rPr>
            <a:t>Clear Filter</a:t>
          </a:r>
          <a:endParaRPr lang="en-US">
            <a:effectLst/>
          </a:endParaRPr>
        </a:p>
        <a:p>
          <a:pPr algn="l"/>
          <a:endParaRPr lang="en-US" sz="1100"/>
        </a:p>
      </xdr:txBody>
    </xdr:sp>
    <xdr:clientData/>
  </xdr:twoCellAnchor>
  <xdr:twoCellAnchor editAs="oneCell">
    <xdr:from>
      <xdr:col>4</xdr:col>
      <xdr:colOff>571500</xdr:colOff>
      <xdr:row>6</xdr:row>
      <xdr:rowOff>6351</xdr:rowOff>
    </xdr:from>
    <xdr:to>
      <xdr:col>7</xdr:col>
      <xdr:colOff>101600</xdr:colOff>
      <xdr:row>8</xdr:row>
      <xdr:rowOff>38100</xdr:rowOff>
    </xdr:to>
    <mc:AlternateContent xmlns:mc="http://schemas.openxmlformats.org/markup-compatibility/2006">
      <mc:Choice xmlns:a14="http://schemas.microsoft.com/office/drawing/2010/main" Requires="a14">
        <xdr:graphicFrame macro="">
          <xdr:nvGraphicFramePr>
            <xdr:cNvPr id="99" name="Hospital">
              <a:extLst>
                <a:ext uri="{FF2B5EF4-FFF2-40B4-BE49-F238E27FC236}">
                  <a16:creationId xmlns:a16="http://schemas.microsoft.com/office/drawing/2014/main" id="{3043C322-962F-435F-BAE4-1DDC20214B2C}"/>
                </a:ext>
              </a:extLst>
            </xdr:cNvPr>
            <xdr:cNvGraphicFramePr/>
          </xdr:nvGraphicFramePr>
          <xdr:xfrm>
            <a:off x="0" y="0"/>
            <a:ext cx="0" cy="0"/>
          </xdr:xfrm>
          <a:graphic>
            <a:graphicData uri="http://schemas.microsoft.com/office/drawing/2010/slicer">
              <sle:slicer xmlns:sle="http://schemas.microsoft.com/office/drawing/2010/slicer" name="Hospital"/>
            </a:graphicData>
          </a:graphic>
        </xdr:graphicFrame>
      </mc:Choice>
      <mc:Fallback>
        <xdr:sp macro="" textlink="">
          <xdr:nvSpPr>
            <xdr:cNvPr id="0" name=""/>
            <xdr:cNvSpPr>
              <a:spLocks noTextEdit="1"/>
            </xdr:cNvSpPr>
          </xdr:nvSpPr>
          <xdr:spPr>
            <a:xfrm>
              <a:off x="3002643" y="986065"/>
              <a:ext cx="1353457" cy="3583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467256</xdr:colOff>
      <xdr:row>11</xdr:row>
      <xdr:rowOff>57119</xdr:rowOff>
    </xdr:from>
    <xdr:to>
      <xdr:col>8</xdr:col>
      <xdr:colOff>444500</xdr:colOff>
      <xdr:row>15</xdr:row>
      <xdr:rowOff>6489</xdr:rowOff>
    </xdr:to>
    <xdr:pic>
      <xdr:nvPicPr>
        <xdr:cNvPr id="101" name="Picture 100">
          <a:extLst>
            <a:ext uri="{FF2B5EF4-FFF2-40B4-BE49-F238E27FC236}">
              <a16:creationId xmlns:a16="http://schemas.microsoft.com/office/drawing/2014/main" id="{5B9BFB05-2851-4EDC-829C-2C45328C52D9}"/>
            </a:ext>
          </a:extLst>
        </xdr:cNvPr>
        <xdr:cNvPicPr>
          <a:picLocks noChangeAspect="1"/>
        </xdr:cNvPicPr>
      </xdr:nvPicPr>
      <xdr:blipFill>
        <a:blip xmlns:r="http://schemas.openxmlformats.org/officeDocument/2006/relationships" r:embed="rId11" cstate="print">
          <a:duotone>
            <a:prstClr val="black"/>
            <a:schemeClr val="accent6">
              <a:tint val="45000"/>
              <a:satMod val="400000"/>
            </a:schemeClr>
          </a:duotone>
          <a:extLst>
            <a:ext uri="{28A0092B-C50C-407E-A947-70E740481C1C}">
              <a14:useLocalDpi xmlns:a14="http://schemas.microsoft.com/office/drawing/2010/main" val="0"/>
            </a:ext>
          </a:extLst>
        </a:blip>
        <a:stretch>
          <a:fillRect/>
        </a:stretch>
      </xdr:blipFill>
      <xdr:spPr>
        <a:xfrm>
          <a:off x="4736795" y="1803369"/>
          <a:ext cx="587179" cy="584370"/>
        </a:xfrm>
        <a:prstGeom prst="rect">
          <a:avLst/>
        </a:prstGeom>
      </xdr:spPr>
    </xdr:pic>
    <xdr:clientData/>
  </xdr:twoCellAnchor>
  <xdr:twoCellAnchor>
    <xdr:from>
      <xdr:col>4</xdr:col>
      <xdr:colOff>502023</xdr:colOff>
      <xdr:row>4</xdr:row>
      <xdr:rowOff>125505</xdr:rowOff>
    </xdr:from>
    <xdr:to>
      <xdr:col>6</xdr:col>
      <xdr:colOff>520700</xdr:colOff>
      <xdr:row>6</xdr:row>
      <xdr:rowOff>38100</xdr:rowOff>
    </xdr:to>
    <xdr:sp macro="" textlink="">
      <xdr:nvSpPr>
        <xdr:cNvPr id="90" name="TextBox 89">
          <a:extLst>
            <a:ext uri="{FF2B5EF4-FFF2-40B4-BE49-F238E27FC236}">
              <a16:creationId xmlns:a16="http://schemas.microsoft.com/office/drawing/2014/main" id="{B32320DE-63E7-405C-98FD-9C763597B657}"/>
            </a:ext>
          </a:extLst>
        </xdr:cNvPr>
        <xdr:cNvSpPr txBox="1"/>
      </xdr:nvSpPr>
      <xdr:spPr>
        <a:xfrm>
          <a:off x="2941760" y="760505"/>
          <a:ext cx="1238545" cy="230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b="1" baseline="0">
              <a:solidFill>
                <a:schemeClr val="tx1">
                  <a:lumMod val="75000"/>
                  <a:lumOff val="25000"/>
                </a:schemeClr>
              </a:solidFill>
            </a:rPr>
            <a:t>Hospital</a:t>
          </a:r>
          <a:endParaRPr lang="en-US" sz="900" b="1">
            <a:solidFill>
              <a:schemeClr val="tx1">
                <a:lumMod val="75000"/>
                <a:lumOff val="25000"/>
              </a:schemeClr>
            </a:solidFill>
          </a:endParaRPr>
        </a:p>
      </xdr:txBody>
    </xdr:sp>
    <xdr:clientData/>
  </xdr:twoCellAnchor>
  <xdr:twoCellAnchor editAs="oneCell">
    <xdr:from>
      <xdr:col>8</xdr:col>
      <xdr:colOff>127000</xdr:colOff>
      <xdr:row>6</xdr:row>
      <xdr:rowOff>39254</xdr:rowOff>
    </xdr:from>
    <xdr:to>
      <xdr:col>10</xdr:col>
      <xdr:colOff>139700</xdr:colOff>
      <xdr:row>8</xdr:row>
      <xdr:rowOff>96404</xdr:rowOff>
    </xdr:to>
    <mc:AlternateContent xmlns:mc="http://schemas.openxmlformats.org/markup-compatibility/2006">
      <mc:Choice xmlns:a14="http://schemas.microsoft.com/office/drawing/2010/main" Requires="a14">
        <xdr:graphicFrame macro="">
          <xdr:nvGraphicFramePr>
            <xdr:cNvPr id="104" name="Diagnosis">
              <a:extLst>
                <a:ext uri="{FF2B5EF4-FFF2-40B4-BE49-F238E27FC236}">
                  <a16:creationId xmlns:a16="http://schemas.microsoft.com/office/drawing/2014/main" id="{43A9B561-40D5-411B-9E8B-CB43E5933F47}"/>
                </a:ext>
              </a:extLst>
            </xdr:cNvPr>
            <xdr:cNvGraphicFramePr/>
          </xdr:nvGraphicFramePr>
          <xdr:xfrm>
            <a:off x="0" y="0"/>
            <a:ext cx="0" cy="0"/>
          </xdr:xfrm>
          <a:graphic>
            <a:graphicData uri="http://schemas.microsoft.com/office/drawing/2010/slicer">
              <sle:slicer xmlns:sle="http://schemas.microsoft.com/office/drawing/2010/slicer" name="Diagnosis"/>
            </a:graphicData>
          </a:graphic>
        </xdr:graphicFrame>
      </mc:Choice>
      <mc:Fallback>
        <xdr:sp macro="" textlink="">
          <xdr:nvSpPr>
            <xdr:cNvPr id="0" name=""/>
            <xdr:cNvSpPr>
              <a:spLocks noTextEdit="1"/>
            </xdr:cNvSpPr>
          </xdr:nvSpPr>
          <xdr:spPr>
            <a:xfrm>
              <a:off x="4989286" y="1018968"/>
              <a:ext cx="1228271" cy="3837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349250</xdr:colOff>
      <xdr:row>6</xdr:row>
      <xdr:rowOff>12700</xdr:rowOff>
    </xdr:from>
    <xdr:to>
      <xdr:col>16</xdr:col>
      <xdr:colOff>165100</xdr:colOff>
      <xdr:row>8</xdr:row>
      <xdr:rowOff>76200</xdr:rowOff>
    </xdr:to>
    <mc:AlternateContent xmlns:mc="http://schemas.openxmlformats.org/markup-compatibility/2006">
      <mc:Choice xmlns:a14="http://schemas.microsoft.com/office/drawing/2010/main" Requires="a14">
        <xdr:graphicFrame macro="">
          <xdr:nvGraphicFramePr>
            <xdr:cNvPr id="105" name="Gender">
              <a:extLst>
                <a:ext uri="{FF2B5EF4-FFF2-40B4-BE49-F238E27FC236}">
                  <a16:creationId xmlns:a16="http://schemas.microsoft.com/office/drawing/2014/main" id="{F7749E87-6C6A-4F11-8EC8-47946ED15617}"/>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dr:sp macro="" textlink="">
          <xdr:nvSpPr>
            <xdr:cNvPr id="0" name=""/>
            <xdr:cNvSpPr>
              <a:spLocks noTextEdit="1"/>
            </xdr:cNvSpPr>
          </xdr:nvSpPr>
          <xdr:spPr>
            <a:xfrm>
              <a:off x="8858250" y="992414"/>
              <a:ext cx="1031421" cy="3900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374650</xdr:colOff>
      <xdr:row>6</xdr:row>
      <xdr:rowOff>12701</xdr:rowOff>
    </xdr:from>
    <xdr:to>
      <xdr:col>13</xdr:col>
      <xdr:colOff>127000</xdr:colOff>
      <xdr:row>8</xdr:row>
      <xdr:rowOff>88901</xdr:rowOff>
    </xdr:to>
    <mc:AlternateContent xmlns:mc="http://schemas.openxmlformats.org/markup-compatibility/2006">
      <mc:Choice xmlns:a14="http://schemas.microsoft.com/office/drawing/2010/main" Requires="a14">
        <xdr:graphicFrame macro="">
          <xdr:nvGraphicFramePr>
            <xdr:cNvPr id="106" name="Patient Region">
              <a:extLst>
                <a:ext uri="{FF2B5EF4-FFF2-40B4-BE49-F238E27FC236}">
                  <a16:creationId xmlns:a16="http://schemas.microsoft.com/office/drawing/2014/main" id="{1A87F17D-F97E-4211-B500-790C3B42513D}"/>
                </a:ext>
              </a:extLst>
            </xdr:cNvPr>
            <xdr:cNvGraphicFramePr/>
          </xdr:nvGraphicFramePr>
          <xdr:xfrm>
            <a:off x="0" y="0"/>
            <a:ext cx="0" cy="0"/>
          </xdr:xfrm>
          <a:graphic>
            <a:graphicData uri="http://schemas.microsoft.com/office/drawing/2010/slicer">
              <sle:slicer xmlns:sle="http://schemas.microsoft.com/office/drawing/2010/slicer" name="Patient Region"/>
            </a:graphicData>
          </a:graphic>
        </xdr:graphicFrame>
      </mc:Choice>
      <mc:Fallback>
        <xdr:sp macro="" textlink="">
          <xdr:nvSpPr>
            <xdr:cNvPr id="0" name=""/>
            <xdr:cNvSpPr>
              <a:spLocks noTextEdit="1"/>
            </xdr:cNvSpPr>
          </xdr:nvSpPr>
          <xdr:spPr>
            <a:xfrm>
              <a:off x="7060293" y="992415"/>
              <a:ext cx="967921" cy="4027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527423</xdr:colOff>
      <xdr:row>4</xdr:row>
      <xdr:rowOff>144555</xdr:rowOff>
    </xdr:from>
    <xdr:to>
      <xdr:col>12</xdr:col>
      <xdr:colOff>552450</xdr:colOff>
      <xdr:row>6</xdr:row>
      <xdr:rowOff>12700</xdr:rowOff>
    </xdr:to>
    <xdr:sp macro="" textlink="">
      <xdr:nvSpPr>
        <xdr:cNvPr id="92" name="TextBox 91">
          <a:extLst>
            <a:ext uri="{FF2B5EF4-FFF2-40B4-BE49-F238E27FC236}">
              <a16:creationId xmlns:a16="http://schemas.microsoft.com/office/drawing/2014/main" id="{4F737574-10DD-4CA8-ACA2-6E337D14D12A}"/>
            </a:ext>
          </a:extLst>
        </xdr:cNvPr>
        <xdr:cNvSpPr txBox="1"/>
      </xdr:nvSpPr>
      <xdr:spPr>
        <a:xfrm>
          <a:off x="7236699" y="779555"/>
          <a:ext cx="634962" cy="185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b="1" baseline="0">
              <a:solidFill>
                <a:schemeClr val="tx1">
                  <a:lumMod val="75000"/>
                  <a:lumOff val="25000"/>
                </a:schemeClr>
              </a:solidFill>
            </a:rPr>
            <a:t>Region</a:t>
          </a:r>
          <a:endParaRPr lang="en-US" sz="900" b="1">
            <a:solidFill>
              <a:schemeClr val="tx1">
                <a:lumMod val="75000"/>
                <a:lumOff val="25000"/>
              </a:schemeClr>
            </a:solidFill>
          </a:endParaRPr>
        </a:p>
      </xdr:txBody>
    </xdr:sp>
    <xdr:clientData/>
  </xdr:twoCellAnchor>
  <xdr:twoCellAnchor editAs="oneCell">
    <xdr:from>
      <xdr:col>10</xdr:col>
      <xdr:colOff>476609</xdr:colOff>
      <xdr:row>5</xdr:row>
      <xdr:rowOff>107950</xdr:rowOff>
    </xdr:from>
    <xdr:to>
      <xdr:col>11</xdr:col>
      <xdr:colOff>308810</xdr:colOff>
      <xdr:row>8</xdr:row>
      <xdr:rowOff>73190</xdr:rowOff>
    </xdr:to>
    <xdr:pic>
      <xdr:nvPicPr>
        <xdr:cNvPr id="108" name="Picture 107">
          <a:extLst>
            <a:ext uri="{FF2B5EF4-FFF2-40B4-BE49-F238E27FC236}">
              <a16:creationId xmlns:a16="http://schemas.microsoft.com/office/drawing/2014/main" id="{99543FF8-C4C3-4A7A-B273-7433D9A0D45D}"/>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6575951" y="901700"/>
          <a:ext cx="442135" cy="441490"/>
        </a:xfrm>
        <a:prstGeom prst="rect">
          <a:avLst/>
        </a:prstGeom>
      </xdr:spPr>
    </xdr:pic>
    <xdr:clientData/>
  </xdr:twoCellAnchor>
  <xdr:twoCellAnchor editAs="oneCell">
    <xdr:from>
      <xdr:col>16</xdr:col>
      <xdr:colOff>584200</xdr:colOff>
      <xdr:row>6</xdr:row>
      <xdr:rowOff>31750</xdr:rowOff>
    </xdr:from>
    <xdr:to>
      <xdr:col>17</xdr:col>
      <xdr:colOff>190500</xdr:colOff>
      <xdr:row>7</xdr:row>
      <xdr:rowOff>88900</xdr:rowOff>
    </xdr:to>
    <xdr:pic>
      <xdr:nvPicPr>
        <xdr:cNvPr id="110" name="Picture 109">
          <a:extLst>
            <a:ext uri="{FF2B5EF4-FFF2-40B4-BE49-F238E27FC236}">
              <a16:creationId xmlns:a16="http://schemas.microsoft.com/office/drawing/2014/main" id="{D348E9D4-0249-4FB1-9167-02C9D06E480A}"/>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Lst>
        </a:blip>
        <a:stretch>
          <a:fillRect/>
        </a:stretch>
      </xdr:blipFill>
      <xdr:spPr>
        <a:xfrm>
          <a:off x="10343147" y="984250"/>
          <a:ext cx="216235" cy="215900"/>
        </a:xfrm>
        <a:prstGeom prst="rect">
          <a:avLst/>
        </a:prstGeom>
      </xdr:spPr>
    </xdr:pic>
    <xdr:clientData/>
  </xdr:twoCellAnchor>
  <xdr:twoCellAnchor>
    <xdr:from>
      <xdr:col>0</xdr:col>
      <xdr:colOff>203200</xdr:colOff>
      <xdr:row>4</xdr:row>
      <xdr:rowOff>133350</xdr:rowOff>
    </xdr:from>
    <xdr:to>
      <xdr:col>3</xdr:col>
      <xdr:colOff>425450</xdr:colOff>
      <xdr:row>8</xdr:row>
      <xdr:rowOff>76200</xdr:rowOff>
    </xdr:to>
    <xdr:sp macro="" textlink="">
      <xdr:nvSpPr>
        <xdr:cNvPr id="94" name="Rectangle: Rounded Corners 93">
          <a:extLst>
            <a:ext uri="{FF2B5EF4-FFF2-40B4-BE49-F238E27FC236}">
              <a16:creationId xmlns:a16="http://schemas.microsoft.com/office/drawing/2014/main" id="{2AC84F3C-133C-4952-8798-878CC5417CFD}"/>
            </a:ext>
          </a:extLst>
        </xdr:cNvPr>
        <xdr:cNvSpPr/>
      </xdr:nvSpPr>
      <xdr:spPr>
        <a:xfrm>
          <a:off x="203200" y="768350"/>
          <a:ext cx="2052053" cy="577850"/>
        </a:xfrm>
        <a:prstGeom prst="roundRect">
          <a:avLst/>
        </a:prstGeom>
        <a:solidFill>
          <a:schemeClr val="bg1">
            <a:lumMod val="9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c:userShapes xmlns:c="http://schemas.openxmlformats.org/drawingml/2006/chart">
  <cdr:relSizeAnchor xmlns:cdr="http://schemas.openxmlformats.org/drawingml/2006/chartDrawing">
    <cdr:from>
      <cdr:x>0.19437</cdr:x>
      <cdr:y>0.23158</cdr:y>
    </cdr:from>
    <cdr:to>
      <cdr:x>0.44907</cdr:x>
      <cdr:y>0.77419</cdr:y>
    </cdr:to>
    <cdr:pic>
      <cdr:nvPicPr>
        <cdr:cNvPr id="3" name="Graphic 2" descr="Group with solid fill">
          <a:extLst xmlns:a="http://schemas.openxmlformats.org/drawingml/2006/main">
            <a:ext uri="{FF2B5EF4-FFF2-40B4-BE49-F238E27FC236}">
              <a16:creationId xmlns:a16="http://schemas.microsoft.com/office/drawing/2014/main" id="{9DD5A770-B500-4971-BCB6-FC41352B1EC8}"/>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697839" y="390260"/>
          <a:ext cx="914400" cy="914400"/>
        </a:xfrm>
        <a:prstGeom xmlns:a="http://schemas.openxmlformats.org/drawingml/2006/main" prst="rect">
          <a:avLst/>
        </a:prstGeom>
      </cdr:spPr>
    </cdr:pic>
  </cdr:relSizeAnchor>
</c:userShapes>
</file>

<file path=xl/persons/person.xml><?xml version="1.0" encoding="utf-8"?>
<x18tc:personList xmlns:x18tc="http://schemas.microsoft.com/office/spreadsheetml/2018/threadedcomment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6250.566205439813" createdVersion="7" refreshedVersion="7" minRefreshableVersion="3" recordCount="100" xr:uid="{87EC1D0C-1B66-48E6-8BE1-D9BCF7D375D2}">
  <cacheSource type="worksheet">
    <worksheetSource name="Fact_Admission"/>
  </cacheSource>
  <cacheFields count="15">
    <cacheField name="Admission ID" numFmtId="0">
      <sharedItems/>
    </cacheField>
    <cacheField name="Patient Age" numFmtId="0">
      <sharedItems containsSemiMixedTypes="0" containsString="0" containsNumber="1" containsInteger="1" minValue="10" maxValue="90"/>
    </cacheField>
    <cacheField name="Gender" numFmtId="0">
      <sharedItems count="2">
        <s v="M"/>
        <s v="F"/>
      </sharedItems>
    </cacheField>
    <cacheField name="Diagnosis" numFmtId="0">
      <sharedItems count="6">
        <s v="Diabetes"/>
        <s v="Stroke"/>
        <s v="Heart Failure"/>
        <s v="Pneumonia"/>
        <s v="Asthma"/>
        <s v="COPD"/>
      </sharedItems>
    </cacheField>
    <cacheField name="Admission Date" numFmtId="14">
      <sharedItems containsSemiMixedTypes="0" containsNonDate="0" containsDate="1" containsString="0" minDate="2024-04-01T00:00:00" maxDate="2024-06-01T00:00:00"/>
    </cacheField>
    <cacheField name="Discharge Date" numFmtId="14">
      <sharedItems containsSemiMixedTypes="0" containsNonDate="0" containsDate="1" containsString="0" minDate="2024-04-04T00:00:00" maxDate="2024-06-12T00:00:00"/>
    </cacheField>
    <cacheField name="Patient Region" numFmtId="0">
      <sharedItems count="5">
        <s v="London"/>
        <s v="South East"/>
        <s v="North West"/>
        <s v="Midlands"/>
        <s v="North Yorkshire"/>
      </sharedItems>
    </cacheField>
    <cacheField name="Age_Group" numFmtId="0">
      <sharedItems count="4">
        <s v="Young Adult"/>
        <s v="Adult"/>
        <s v="Senior"/>
        <s v="Child"/>
      </sharedItems>
    </cacheField>
    <cacheField name="Admission_Year" numFmtId="0">
      <sharedItems containsSemiMixedTypes="0" containsString="0" containsNumber="1" containsInteger="1" minValue="2024" maxValue="2024"/>
    </cacheField>
    <cacheField name="Admission_Month" numFmtId="0">
      <sharedItems count="2">
        <s v="April"/>
        <s v="May"/>
      </sharedItems>
    </cacheField>
    <cacheField name="Month_Number" numFmtId="0">
      <sharedItems containsSemiMixedTypes="0" containsString="0" containsNumber="1" containsInteger="1" minValue="4" maxValue="5"/>
    </cacheField>
    <cacheField name="Admission_Quarter" numFmtId="0">
      <sharedItems containsSemiMixedTypes="0" containsString="0" containsNumber="1" containsInteger="1" minValue="2" maxValue="2"/>
    </cacheField>
    <cacheField name="Los_Final" numFmtId="0">
      <sharedItems containsSemiMixedTypes="0" containsString="0" containsNumber="1" containsInteger="1" minValue="0" maxValue="14"/>
    </cacheField>
    <cacheField name="Stay Category" numFmtId="0">
      <sharedItems/>
    </cacheField>
    <cacheField name="Hospital" numFmtId="0">
      <sharedItems count="9">
        <s v="UCLH"/>
        <s v="St Marys"/>
        <s v="Royal Free"/>
        <s v="Manchester Royal"/>
        <s v="Leeds General"/>
        <s v="King's College"/>
        <s v="St Mary's" u="1"/>
        <s v="St Mary’s" u="1"/>
        <s v="St Mary’s Hospital" u="1"/>
      </sharedItems>
    </cacheField>
  </cacheFields>
  <extLst>
    <ext xmlns:x14="http://schemas.microsoft.com/office/spreadsheetml/2009/9/main" uri="{725AE2AE-9491-48be-B2B4-4EB974FC3084}">
      <x14:pivotCacheDefinition pivotCacheId="12355929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A006"/>
    <n v="31"/>
    <x v="0"/>
    <x v="0"/>
    <d v="2024-04-10T00:00:00"/>
    <d v="2024-04-14T00:00:00"/>
    <x v="0"/>
    <x v="0"/>
    <n v="2024"/>
    <x v="0"/>
    <n v="4"/>
    <n v="2"/>
    <n v="4"/>
    <s v="Medium Stay"/>
    <x v="0"/>
  </r>
  <r>
    <s v="A007"/>
    <n v="51"/>
    <x v="0"/>
    <x v="1"/>
    <d v="2024-04-23T00:00:00"/>
    <d v="2024-05-07T00:00:00"/>
    <x v="1"/>
    <x v="1"/>
    <n v="2024"/>
    <x v="0"/>
    <n v="4"/>
    <n v="2"/>
    <n v="14"/>
    <s v="Long Stay"/>
    <x v="0"/>
  </r>
  <r>
    <s v="A009"/>
    <n v="42"/>
    <x v="0"/>
    <x v="2"/>
    <d v="2024-05-27T00:00:00"/>
    <d v="2024-06-10T00:00:00"/>
    <x v="2"/>
    <x v="1"/>
    <n v="2024"/>
    <x v="1"/>
    <n v="5"/>
    <n v="2"/>
    <n v="14"/>
    <s v="Long Stay"/>
    <x v="0"/>
  </r>
  <r>
    <s v="A0011"/>
    <n v="38"/>
    <x v="1"/>
    <x v="3"/>
    <d v="2024-04-30T00:00:00"/>
    <d v="2024-05-11T00:00:00"/>
    <x v="2"/>
    <x v="0"/>
    <n v="2024"/>
    <x v="0"/>
    <n v="4"/>
    <n v="2"/>
    <n v="11"/>
    <s v="Long Stay"/>
    <x v="0"/>
  </r>
  <r>
    <s v="A0026"/>
    <n v="48"/>
    <x v="0"/>
    <x v="4"/>
    <d v="2024-04-08T00:00:00"/>
    <d v="2024-04-14T00:00:00"/>
    <x v="3"/>
    <x v="1"/>
    <n v="2024"/>
    <x v="0"/>
    <n v="4"/>
    <n v="2"/>
    <n v="6"/>
    <s v="Medium Stay"/>
    <x v="0"/>
  </r>
  <r>
    <s v="A0050"/>
    <n v="48"/>
    <x v="1"/>
    <x v="0"/>
    <d v="2024-05-13T00:00:00"/>
    <d v="2024-05-25T00:00:00"/>
    <x v="2"/>
    <x v="1"/>
    <n v="2024"/>
    <x v="1"/>
    <n v="5"/>
    <n v="2"/>
    <n v="12"/>
    <s v="Long Stay"/>
    <x v="0"/>
  </r>
  <r>
    <s v="A0051"/>
    <n v="76"/>
    <x v="1"/>
    <x v="2"/>
    <d v="2024-05-13T00:00:00"/>
    <d v="2024-05-24T00:00:00"/>
    <x v="0"/>
    <x v="2"/>
    <n v="2024"/>
    <x v="1"/>
    <n v="5"/>
    <n v="2"/>
    <n v="11"/>
    <s v="Long Stay"/>
    <x v="0"/>
  </r>
  <r>
    <s v="A0058"/>
    <n v="24"/>
    <x v="0"/>
    <x v="1"/>
    <d v="2024-05-03T00:00:00"/>
    <d v="2024-05-11T00:00:00"/>
    <x v="1"/>
    <x v="0"/>
    <n v="2024"/>
    <x v="1"/>
    <n v="5"/>
    <n v="2"/>
    <n v="8"/>
    <s v="Long Stay"/>
    <x v="0"/>
  </r>
  <r>
    <s v="A0064"/>
    <n v="89"/>
    <x v="1"/>
    <x v="5"/>
    <d v="2024-05-13T00:00:00"/>
    <d v="2024-05-15T00:00:00"/>
    <x v="2"/>
    <x v="2"/>
    <n v="2024"/>
    <x v="1"/>
    <n v="5"/>
    <n v="2"/>
    <n v="2"/>
    <s v="Short Stay"/>
    <x v="0"/>
  </r>
  <r>
    <s v="A0069"/>
    <n v="26"/>
    <x v="1"/>
    <x v="3"/>
    <d v="2024-04-26T00:00:00"/>
    <d v="2024-05-02T00:00:00"/>
    <x v="3"/>
    <x v="0"/>
    <n v="2024"/>
    <x v="0"/>
    <n v="4"/>
    <n v="2"/>
    <n v="6"/>
    <s v="Medium Stay"/>
    <x v="0"/>
  </r>
  <r>
    <s v="A0071"/>
    <n v="22"/>
    <x v="0"/>
    <x v="5"/>
    <d v="2024-04-12T00:00:00"/>
    <d v="2024-04-22T00:00:00"/>
    <x v="1"/>
    <x v="0"/>
    <n v="2024"/>
    <x v="0"/>
    <n v="4"/>
    <n v="2"/>
    <n v="10"/>
    <s v="Long Stay"/>
    <x v="0"/>
  </r>
  <r>
    <s v="A0072"/>
    <n v="73"/>
    <x v="0"/>
    <x v="0"/>
    <d v="2024-04-23T00:00:00"/>
    <d v="2024-05-05T00:00:00"/>
    <x v="3"/>
    <x v="2"/>
    <n v="2024"/>
    <x v="0"/>
    <n v="4"/>
    <n v="2"/>
    <n v="12"/>
    <s v="Long Stay"/>
    <x v="0"/>
  </r>
  <r>
    <s v="A0075"/>
    <n v="58"/>
    <x v="0"/>
    <x v="1"/>
    <d v="2024-05-31T00:00:00"/>
    <d v="2024-06-11T00:00:00"/>
    <x v="4"/>
    <x v="1"/>
    <n v="2024"/>
    <x v="1"/>
    <n v="5"/>
    <n v="2"/>
    <n v="11"/>
    <s v="Long Stay"/>
    <x v="0"/>
  </r>
  <r>
    <s v="A0078"/>
    <n v="69"/>
    <x v="0"/>
    <x v="3"/>
    <d v="2024-05-10T00:00:00"/>
    <d v="2024-05-20T00:00:00"/>
    <x v="4"/>
    <x v="2"/>
    <n v="2024"/>
    <x v="1"/>
    <n v="5"/>
    <n v="2"/>
    <n v="10"/>
    <s v="Long Stay"/>
    <x v="0"/>
  </r>
  <r>
    <s v="A0088"/>
    <n v="74"/>
    <x v="1"/>
    <x v="5"/>
    <d v="2024-05-06T00:00:00"/>
    <d v="2024-05-16T00:00:00"/>
    <x v="1"/>
    <x v="2"/>
    <n v="2024"/>
    <x v="1"/>
    <n v="5"/>
    <n v="2"/>
    <n v="10"/>
    <s v="Long Stay"/>
    <x v="0"/>
  </r>
  <r>
    <s v="A0090"/>
    <n v="84"/>
    <x v="1"/>
    <x v="1"/>
    <d v="2024-05-24T00:00:00"/>
    <d v="2024-06-04T00:00:00"/>
    <x v="2"/>
    <x v="2"/>
    <n v="2024"/>
    <x v="1"/>
    <n v="5"/>
    <n v="2"/>
    <n v="11"/>
    <s v="Long Stay"/>
    <x v="0"/>
  </r>
  <r>
    <s v="A0096"/>
    <n v="67"/>
    <x v="1"/>
    <x v="5"/>
    <d v="2024-05-31T00:00:00"/>
    <d v="2024-06-06T00:00:00"/>
    <x v="3"/>
    <x v="2"/>
    <n v="2024"/>
    <x v="1"/>
    <n v="5"/>
    <n v="2"/>
    <n v="6"/>
    <s v="Medium Stay"/>
    <x v="0"/>
  </r>
  <r>
    <s v="A005"/>
    <n v="38"/>
    <x v="1"/>
    <x v="3"/>
    <d v="2024-05-08T00:00:00"/>
    <d v="2024-05-13T00:00:00"/>
    <x v="4"/>
    <x v="0"/>
    <n v="2024"/>
    <x v="1"/>
    <n v="5"/>
    <n v="2"/>
    <n v="5"/>
    <s v="Medium Stay"/>
    <x v="1"/>
  </r>
  <r>
    <s v="A0010"/>
    <n v="47"/>
    <x v="0"/>
    <x v="0"/>
    <d v="2024-05-20T00:00:00"/>
    <d v="2024-05-25T00:00:00"/>
    <x v="4"/>
    <x v="1"/>
    <n v="2024"/>
    <x v="1"/>
    <n v="5"/>
    <n v="2"/>
    <n v="5"/>
    <s v="Medium Stay"/>
    <x v="1"/>
  </r>
  <r>
    <s v="A0021"/>
    <n v="12"/>
    <x v="1"/>
    <x v="1"/>
    <d v="2024-05-14T00:00:00"/>
    <d v="2024-05-26T00:00:00"/>
    <x v="4"/>
    <x v="3"/>
    <n v="2024"/>
    <x v="1"/>
    <n v="5"/>
    <n v="2"/>
    <n v="12"/>
    <s v="Long Stay"/>
    <x v="1"/>
  </r>
  <r>
    <s v="A001"/>
    <n v="10"/>
    <x v="0"/>
    <x v="4"/>
    <d v="2024-05-11T00:00:00"/>
    <d v="2024-05-13T00:00:00"/>
    <x v="2"/>
    <x v="3"/>
    <n v="2024"/>
    <x v="1"/>
    <n v="5"/>
    <n v="2"/>
    <n v="2"/>
    <s v="Short Stay"/>
    <x v="1"/>
  </r>
  <r>
    <s v="A003"/>
    <n v="12"/>
    <x v="0"/>
    <x v="5"/>
    <d v="2024-04-03T00:00:00"/>
    <d v="2024-04-04T00:00:00"/>
    <x v="3"/>
    <x v="3"/>
    <n v="2024"/>
    <x v="0"/>
    <n v="4"/>
    <n v="2"/>
    <n v="1"/>
    <s v="Short Stay"/>
    <x v="1"/>
  </r>
  <r>
    <s v="A0014"/>
    <n v="47"/>
    <x v="0"/>
    <x v="3"/>
    <d v="2024-05-24T00:00:00"/>
    <d v="2024-06-06T00:00:00"/>
    <x v="1"/>
    <x v="1"/>
    <n v="2024"/>
    <x v="1"/>
    <n v="5"/>
    <n v="2"/>
    <n v="13"/>
    <s v="Long Stay"/>
    <x v="1"/>
  </r>
  <r>
    <s v="A0027"/>
    <n v="80"/>
    <x v="0"/>
    <x v="5"/>
    <d v="2024-05-31T00:00:00"/>
    <d v="2024-06-02T00:00:00"/>
    <x v="2"/>
    <x v="2"/>
    <n v="2024"/>
    <x v="1"/>
    <n v="5"/>
    <n v="2"/>
    <n v="2"/>
    <s v="Short Stay"/>
    <x v="1"/>
  </r>
  <r>
    <s v="A0033"/>
    <n v="60"/>
    <x v="0"/>
    <x v="5"/>
    <d v="2024-04-15T00:00:00"/>
    <d v="2024-04-17T00:00:00"/>
    <x v="2"/>
    <x v="2"/>
    <n v="2024"/>
    <x v="0"/>
    <n v="4"/>
    <n v="2"/>
    <n v="2"/>
    <s v="Short Stay"/>
    <x v="1"/>
  </r>
  <r>
    <s v="A0037"/>
    <n v="30"/>
    <x v="0"/>
    <x v="0"/>
    <d v="2024-05-26T00:00:00"/>
    <d v="2024-06-07T00:00:00"/>
    <x v="4"/>
    <x v="0"/>
    <n v="2024"/>
    <x v="1"/>
    <n v="5"/>
    <n v="2"/>
    <n v="12"/>
    <s v="Long Stay"/>
    <x v="1"/>
  </r>
  <r>
    <s v="A0038"/>
    <n v="49"/>
    <x v="0"/>
    <x v="4"/>
    <d v="2024-05-22T00:00:00"/>
    <d v="2024-06-05T00:00:00"/>
    <x v="3"/>
    <x v="1"/>
    <n v="2024"/>
    <x v="1"/>
    <n v="5"/>
    <n v="2"/>
    <n v="14"/>
    <s v="Long Stay"/>
    <x v="1"/>
  </r>
  <r>
    <s v="A0041"/>
    <n v="48"/>
    <x v="0"/>
    <x v="0"/>
    <d v="2024-05-24T00:00:00"/>
    <d v="2024-05-25T00:00:00"/>
    <x v="1"/>
    <x v="1"/>
    <n v="2024"/>
    <x v="1"/>
    <n v="5"/>
    <n v="2"/>
    <n v="1"/>
    <s v="Short Stay"/>
    <x v="1"/>
  </r>
  <r>
    <s v="A0059"/>
    <n v="18"/>
    <x v="1"/>
    <x v="4"/>
    <d v="2024-05-24T00:00:00"/>
    <d v="2024-05-29T00:00:00"/>
    <x v="4"/>
    <x v="0"/>
    <n v="2024"/>
    <x v="1"/>
    <n v="5"/>
    <n v="2"/>
    <n v="5"/>
    <s v="Medium Stay"/>
    <x v="1"/>
  </r>
  <r>
    <s v="A0063"/>
    <n v="63"/>
    <x v="0"/>
    <x v="1"/>
    <d v="2024-05-28T00:00:00"/>
    <d v="2024-06-10T00:00:00"/>
    <x v="2"/>
    <x v="2"/>
    <n v="2024"/>
    <x v="1"/>
    <n v="5"/>
    <n v="2"/>
    <n v="13"/>
    <s v="Long Stay"/>
    <x v="1"/>
  </r>
  <r>
    <s v="A0067"/>
    <n v="78"/>
    <x v="0"/>
    <x v="4"/>
    <d v="2024-04-25T00:00:00"/>
    <d v="2024-05-09T00:00:00"/>
    <x v="1"/>
    <x v="2"/>
    <n v="2024"/>
    <x v="0"/>
    <n v="4"/>
    <n v="2"/>
    <n v="14"/>
    <s v="Long Stay"/>
    <x v="1"/>
  </r>
  <r>
    <s v="A0073"/>
    <n v="73"/>
    <x v="0"/>
    <x v="5"/>
    <d v="2024-04-13T00:00:00"/>
    <d v="2024-04-18T00:00:00"/>
    <x v="3"/>
    <x v="2"/>
    <n v="2024"/>
    <x v="0"/>
    <n v="4"/>
    <n v="2"/>
    <n v="5"/>
    <s v="Medium Stay"/>
    <x v="1"/>
  </r>
  <r>
    <s v="A0083"/>
    <n v="76"/>
    <x v="1"/>
    <x v="1"/>
    <d v="2024-05-01T00:00:00"/>
    <d v="2024-05-11T00:00:00"/>
    <x v="3"/>
    <x v="2"/>
    <n v="2024"/>
    <x v="1"/>
    <n v="5"/>
    <n v="2"/>
    <n v="10"/>
    <s v="Long Stay"/>
    <x v="1"/>
  </r>
  <r>
    <s v="A0087"/>
    <n v="76"/>
    <x v="0"/>
    <x v="0"/>
    <d v="2024-04-16T00:00:00"/>
    <d v="2024-04-30T00:00:00"/>
    <x v="3"/>
    <x v="2"/>
    <n v="2024"/>
    <x v="0"/>
    <n v="4"/>
    <n v="2"/>
    <n v="14"/>
    <s v="Long Stay"/>
    <x v="1"/>
  </r>
  <r>
    <s v="A0091"/>
    <n v="54"/>
    <x v="0"/>
    <x v="3"/>
    <d v="2024-04-18T00:00:00"/>
    <d v="2024-04-26T00:00:00"/>
    <x v="4"/>
    <x v="1"/>
    <n v="2024"/>
    <x v="0"/>
    <n v="4"/>
    <n v="2"/>
    <n v="8"/>
    <s v="Long Stay"/>
    <x v="1"/>
  </r>
  <r>
    <s v="A0092"/>
    <n v="35"/>
    <x v="0"/>
    <x v="4"/>
    <d v="2024-04-21T00:00:00"/>
    <d v="2024-04-30T00:00:00"/>
    <x v="1"/>
    <x v="0"/>
    <n v="2024"/>
    <x v="0"/>
    <n v="4"/>
    <n v="2"/>
    <n v="9"/>
    <s v="Long Stay"/>
    <x v="1"/>
  </r>
  <r>
    <s v="A00100"/>
    <n v="28"/>
    <x v="1"/>
    <x v="4"/>
    <d v="2024-05-07T00:00:00"/>
    <d v="2024-05-18T00:00:00"/>
    <x v="1"/>
    <x v="0"/>
    <n v="2024"/>
    <x v="1"/>
    <n v="5"/>
    <n v="2"/>
    <n v="11"/>
    <s v="Long Stay"/>
    <x v="1"/>
  </r>
  <r>
    <s v="A004"/>
    <n v="14"/>
    <x v="1"/>
    <x v="4"/>
    <d v="2024-04-02T00:00:00"/>
    <d v="2024-04-11T00:00:00"/>
    <x v="1"/>
    <x v="3"/>
    <n v="2024"/>
    <x v="0"/>
    <n v="4"/>
    <n v="2"/>
    <n v="9"/>
    <s v="Long Stay"/>
    <x v="2"/>
  </r>
  <r>
    <s v="A0015"/>
    <n v="90"/>
    <x v="1"/>
    <x v="4"/>
    <d v="2024-04-18T00:00:00"/>
    <d v="2024-04-20T00:00:00"/>
    <x v="1"/>
    <x v="2"/>
    <n v="2024"/>
    <x v="0"/>
    <n v="4"/>
    <n v="2"/>
    <n v="2"/>
    <s v="Short Stay"/>
    <x v="2"/>
  </r>
  <r>
    <s v="A0018"/>
    <n v="83"/>
    <x v="1"/>
    <x v="2"/>
    <d v="2024-04-24T00:00:00"/>
    <d v="2024-04-28T00:00:00"/>
    <x v="0"/>
    <x v="2"/>
    <n v="2024"/>
    <x v="0"/>
    <n v="4"/>
    <n v="2"/>
    <n v="4"/>
    <s v="Medium Stay"/>
    <x v="2"/>
  </r>
  <r>
    <s v="A0019"/>
    <n v="38"/>
    <x v="1"/>
    <x v="5"/>
    <d v="2024-05-26T00:00:00"/>
    <d v="2024-05-26T00:00:00"/>
    <x v="0"/>
    <x v="0"/>
    <n v="2024"/>
    <x v="1"/>
    <n v="5"/>
    <n v="2"/>
    <n v="0"/>
    <s v="Short Stay"/>
    <x v="2"/>
  </r>
  <r>
    <s v="A0023"/>
    <n v="14"/>
    <x v="0"/>
    <x v="1"/>
    <d v="2024-05-03T00:00:00"/>
    <d v="2024-05-16T00:00:00"/>
    <x v="4"/>
    <x v="3"/>
    <n v="2024"/>
    <x v="1"/>
    <n v="5"/>
    <n v="2"/>
    <n v="13"/>
    <s v="Long Stay"/>
    <x v="2"/>
  </r>
  <r>
    <s v="A0031"/>
    <n v="26"/>
    <x v="1"/>
    <x v="2"/>
    <d v="2024-04-08T00:00:00"/>
    <d v="2024-04-12T00:00:00"/>
    <x v="3"/>
    <x v="0"/>
    <n v="2024"/>
    <x v="0"/>
    <n v="4"/>
    <n v="2"/>
    <n v="4"/>
    <s v="Medium Stay"/>
    <x v="2"/>
  </r>
  <r>
    <s v="A0035"/>
    <n v="78"/>
    <x v="1"/>
    <x v="4"/>
    <d v="2024-05-07T00:00:00"/>
    <d v="2024-05-15T00:00:00"/>
    <x v="0"/>
    <x v="2"/>
    <n v="2024"/>
    <x v="1"/>
    <n v="5"/>
    <n v="2"/>
    <n v="8"/>
    <s v="Long Stay"/>
    <x v="2"/>
  </r>
  <r>
    <s v="A0047"/>
    <n v="26"/>
    <x v="0"/>
    <x v="1"/>
    <d v="2024-04-06T00:00:00"/>
    <d v="2024-04-20T00:00:00"/>
    <x v="2"/>
    <x v="0"/>
    <n v="2024"/>
    <x v="0"/>
    <n v="4"/>
    <n v="2"/>
    <n v="14"/>
    <s v="Long Stay"/>
    <x v="2"/>
  </r>
  <r>
    <s v="A0053"/>
    <n v="62"/>
    <x v="0"/>
    <x v="4"/>
    <d v="2024-05-03T00:00:00"/>
    <d v="2024-05-08T00:00:00"/>
    <x v="4"/>
    <x v="2"/>
    <n v="2024"/>
    <x v="1"/>
    <n v="5"/>
    <n v="2"/>
    <n v="5"/>
    <s v="Medium Stay"/>
    <x v="2"/>
  </r>
  <r>
    <s v="A0065"/>
    <n v="40"/>
    <x v="1"/>
    <x v="2"/>
    <d v="2024-05-30T00:00:00"/>
    <d v="2024-06-03T00:00:00"/>
    <x v="2"/>
    <x v="1"/>
    <n v="2024"/>
    <x v="1"/>
    <n v="5"/>
    <n v="2"/>
    <n v="4"/>
    <s v="Medium Stay"/>
    <x v="2"/>
  </r>
  <r>
    <s v="A0068"/>
    <n v="46"/>
    <x v="0"/>
    <x v="1"/>
    <d v="2024-04-23T00:00:00"/>
    <d v="2024-04-28T00:00:00"/>
    <x v="2"/>
    <x v="1"/>
    <n v="2024"/>
    <x v="0"/>
    <n v="4"/>
    <n v="2"/>
    <n v="5"/>
    <s v="Medium Stay"/>
    <x v="2"/>
  </r>
  <r>
    <s v="A0077"/>
    <n v="71"/>
    <x v="1"/>
    <x v="1"/>
    <d v="2024-05-06T00:00:00"/>
    <d v="2024-05-09T00:00:00"/>
    <x v="2"/>
    <x v="2"/>
    <n v="2024"/>
    <x v="1"/>
    <n v="5"/>
    <n v="2"/>
    <n v="3"/>
    <s v="Short Stay"/>
    <x v="2"/>
  </r>
  <r>
    <s v="A0082"/>
    <n v="36"/>
    <x v="0"/>
    <x v="2"/>
    <d v="2024-04-15T00:00:00"/>
    <d v="2024-04-28T00:00:00"/>
    <x v="2"/>
    <x v="0"/>
    <n v="2024"/>
    <x v="0"/>
    <n v="4"/>
    <n v="2"/>
    <n v="13"/>
    <s v="Long Stay"/>
    <x v="2"/>
  </r>
  <r>
    <s v="A0097"/>
    <n v="80"/>
    <x v="0"/>
    <x v="3"/>
    <d v="2024-05-22T00:00:00"/>
    <d v="2024-06-01T00:00:00"/>
    <x v="1"/>
    <x v="2"/>
    <n v="2024"/>
    <x v="1"/>
    <n v="5"/>
    <n v="2"/>
    <n v="10"/>
    <s v="Long Stay"/>
    <x v="2"/>
  </r>
  <r>
    <s v="A0099"/>
    <n v="86"/>
    <x v="0"/>
    <x v="0"/>
    <d v="2024-05-24T00:00:00"/>
    <d v="2024-06-01T00:00:00"/>
    <x v="3"/>
    <x v="2"/>
    <n v="2024"/>
    <x v="1"/>
    <n v="5"/>
    <n v="2"/>
    <n v="8"/>
    <s v="Long Stay"/>
    <x v="2"/>
  </r>
  <r>
    <s v="A0017"/>
    <n v="51"/>
    <x v="1"/>
    <x v="5"/>
    <d v="2024-05-18T00:00:00"/>
    <d v="2024-05-27T00:00:00"/>
    <x v="1"/>
    <x v="1"/>
    <n v="2024"/>
    <x v="1"/>
    <n v="5"/>
    <n v="2"/>
    <n v="9"/>
    <s v="Long Stay"/>
    <x v="3"/>
  </r>
  <r>
    <s v="A0020"/>
    <n v="10"/>
    <x v="1"/>
    <x v="5"/>
    <d v="2024-04-25T00:00:00"/>
    <d v="2024-05-02T00:00:00"/>
    <x v="0"/>
    <x v="3"/>
    <n v="2024"/>
    <x v="0"/>
    <n v="4"/>
    <n v="2"/>
    <n v="7"/>
    <s v="Medium Stay"/>
    <x v="3"/>
  </r>
  <r>
    <s v="A0024"/>
    <n v="43"/>
    <x v="0"/>
    <x v="3"/>
    <d v="2024-05-24T00:00:00"/>
    <d v="2024-06-04T00:00:00"/>
    <x v="2"/>
    <x v="1"/>
    <n v="2024"/>
    <x v="1"/>
    <n v="5"/>
    <n v="2"/>
    <n v="11"/>
    <s v="Long Stay"/>
    <x v="3"/>
  </r>
  <r>
    <s v="A0025"/>
    <n v="18"/>
    <x v="1"/>
    <x v="0"/>
    <d v="2024-05-05T00:00:00"/>
    <d v="2024-05-18T00:00:00"/>
    <x v="0"/>
    <x v="0"/>
    <n v="2024"/>
    <x v="1"/>
    <n v="5"/>
    <n v="2"/>
    <n v="13"/>
    <s v="Long Stay"/>
    <x v="3"/>
  </r>
  <r>
    <s v="A0032"/>
    <n v="46"/>
    <x v="0"/>
    <x v="2"/>
    <d v="2024-05-06T00:00:00"/>
    <d v="2024-05-10T00:00:00"/>
    <x v="0"/>
    <x v="1"/>
    <n v="2024"/>
    <x v="1"/>
    <n v="5"/>
    <n v="2"/>
    <n v="4"/>
    <s v="Medium Stay"/>
    <x v="3"/>
  </r>
  <r>
    <s v="A0046"/>
    <n v="79"/>
    <x v="0"/>
    <x v="2"/>
    <d v="2024-04-04T00:00:00"/>
    <d v="2024-04-05T00:00:00"/>
    <x v="3"/>
    <x v="2"/>
    <n v="2024"/>
    <x v="0"/>
    <n v="4"/>
    <n v="2"/>
    <n v="1"/>
    <s v="Short Stay"/>
    <x v="3"/>
  </r>
  <r>
    <s v="A0048"/>
    <n v="49"/>
    <x v="0"/>
    <x v="5"/>
    <d v="2024-04-26T00:00:00"/>
    <d v="2024-04-28T00:00:00"/>
    <x v="0"/>
    <x v="1"/>
    <n v="2024"/>
    <x v="0"/>
    <n v="4"/>
    <n v="2"/>
    <n v="2"/>
    <s v="Short Stay"/>
    <x v="3"/>
  </r>
  <r>
    <s v="A0049"/>
    <n v="90"/>
    <x v="1"/>
    <x v="3"/>
    <d v="2024-04-27T00:00:00"/>
    <d v="2024-05-08T00:00:00"/>
    <x v="2"/>
    <x v="2"/>
    <n v="2024"/>
    <x v="0"/>
    <n v="4"/>
    <n v="2"/>
    <n v="11"/>
    <s v="Long Stay"/>
    <x v="3"/>
  </r>
  <r>
    <s v="A0052"/>
    <n v="30"/>
    <x v="0"/>
    <x v="5"/>
    <d v="2024-04-30T00:00:00"/>
    <d v="2024-05-10T00:00:00"/>
    <x v="2"/>
    <x v="0"/>
    <n v="2024"/>
    <x v="0"/>
    <n v="4"/>
    <n v="2"/>
    <n v="10"/>
    <s v="Long Stay"/>
    <x v="3"/>
  </r>
  <r>
    <s v="A0055"/>
    <n v="56"/>
    <x v="0"/>
    <x v="4"/>
    <d v="2024-04-01T00:00:00"/>
    <d v="2024-04-12T00:00:00"/>
    <x v="4"/>
    <x v="1"/>
    <n v="2024"/>
    <x v="0"/>
    <n v="4"/>
    <n v="2"/>
    <n v="11"/>
    <s v="Long Stay"/>
    <x v="3"/>
  </r>
  <r>
    <s v="A0070"/>
    <n v="60"/>
    <x v="0"/>
    <x v="2"/>
    <d v="2024-04-26T00:00:00"/>
    <d v="2024-05-07T00:00:00"/>
    <x v="4"/>
    <x v="2"/>
    <n v="2024"/>
    <x v="0"/>
    <n v="4"/>
    <n v="2"/>
    <n v="11"/>
    <s v="Long Stay"/>
    <x v="3"/>
  </r>
  <r>
    <s v="A0079"/>
    <n v="59"/>
    <x v="1"/>
    <x v="0"/>
    <d v="2024-04-14T00:00:00"/>
    <d v="2024-04-21T00:00:00"/>
    <x v="1"/>
    <x v="1"/>
    <n v="2024"/>
    <x v="0"/>
    <n v="4"/>
    <n v="2"/>
    <n v="7"/>
    <s v="Medium Stay"/>
    <x v="3"/>
  </r>
  <r>
    <s v="A0080"/>
    <n v="78"/>
    <x v="0"/>
    <x v="1"/>
    <d v="2024-05-14T00:00:00"/>
    <d v="2024-05-18T00:00:00"/>
    <x v="0"/>
    <x v="2"/>
    <n v="2024"/>
    <x v="1"/>
    <n v="5"/>
    <n v="2"/>
    <n v="4"/>
    <s v="Medium Stay"/>
    <x v="3"/>
  </r>
  <r>
    <s v="A0095"/>
    <n v="20"/>
    <x v="1"/>
    <x v="0"/>
    <d v="2024-04-25T00:00:00"/>
    <d v="2024-05-08T00:00:00"/>
    <x v="0"/>
    <x v="0"/>
    <n v="2024"/>
    <x v="0"/>
    <n v="4"/>
    <n v="2"/>
    <n v="13"/>
    <s v="Long Stay"/>
    <x v="3"/>
  </r>
  <r>
    <s v="A002"/>
    <n v="12"/>
    <x v="0"/>
    <x v="5"/>
    <d v="2024-05-18T00:00:00"/>
    <d v="2024-05-20T00:00:00"/>
    <x v="1"/>
    <x v="3"/>
    <n v="2024"/>
    <x v="1"/>
    <n v="5"/>
    <n v="2"/>
    <n v="2"/>
    <s v="Short Stay"/>
    <x v="4"/>
  </r>
  <r>
    <s v="A0012"/>
    <n v="27"/>
    <x v="0"/>
    <x v="5"/>
    <d v="2024-05-13T00:00:00"/>
    <d v="2024-05-13T00:00:00"/>
    <x v="2"/>
    <x v="0"/>
    <n v="2024"/>
    <x v="1"/>
    <n v="5"/>
    <n v="2"/>
    <n v="0"/>
    <s v="Short Stay"/>
    <x v="4"/>
  </r>
  <r>
    <s v="A0030"/>
    <n v="65"/>
    <x v="1"/>
    <x v="5"/>
    <d v="2024-04-26T00:00:00"/>
    <d v="2024-05-07T00:00:00"/>
    <x v="1"/>
    <x v="2"/>
    <n v="2024"/>
    <x v="0"/>
    <n v="4"/>
    <n v="2"/>
    <n v="11"/>
    <s v="Long Stay"/>
    <x v="4"/>
  </r>
  <r>
    <s v="A0045"/>
    <n v="87"/>
    <x v="0"/>
    <x v="1"/>
    <d v="2024-04-04T00:00:00"/>
    <d v="2024-04-14T00:00:00"/>
    <x v="4"/>
    <x v="2"/>
    <n v="2024"/>
    <x v="0"/>
    <n v="4"/>
    <n v="2"/>
    <n v="10"/>
    <s v="Long Stay"/>
    <x v="4"/>
  </r>
  <r>
    <s v="A0056"/>
    <n v="88"/>
    <x v="0"/>
    <x v="3"/>
    <d v="2024-04-08T00:00:00"/>
    <d v="2024-04-10T00:00:00"/>
    <x v="4"/>
    <x v="2"/>
    <n v="2024"/>
    <x v="0"/>
    <n v="4"/>
    <n v="2"/>
    <n v="2"/>
    <s v="Short Stay"/>
    <x v="4"/>
  </r>
  <r>
    <s v="A0057"/>
    <n v="61"/>
    <x v="0"/>
    <x v="1"/>
    <d v="2024-05-09T00:00:00"/>
    <d v="2024-05-13T00:00:00"/>
    <x v="4"/>
    <x v="2"/>
    <n v="2024"/>
    <x v="1"/>
    <n v="5"/>
    <n v="2"/>
    <n v="4"/>
    <s v="Medium Stay"/>
    <x v="4"/>
  </r>
  <r>
    <s v="A0061"/>
    <n v="37"/>
    <x v="0"/>
    <x v="3"/>
    <d v="2024-04-08T00:00:00"/>
    <d v="2024-04-10T00:00:00"/>
    <x v="3"/>
    <x v="0"/>
    <n v="2024"/>
    <x v="0"/>
    <n v="4"/>
    <n v="2"/>
    <n v="2"/>
    <s v="Short Stay"/>
    <x v="4"/>
  </r>
  <r>
    <s v="A0074"/>
    <n v="43"/>
    <x v="1"/>
    <x v="0"/>
    <d v="2024-05-14T00:00:00"/>
    <d v="2024-05-26T00:00:00"/>
    <x v="0"/>
    <x v="1"/>
    <n v="2024"/>
    <x v="1"/>
    <n v="5"/>
    <n v="2"/>
    <n v="12"/>
    <s v="Long Stay"/>
    <x v="4"/>
  </r>
  <r>
    <s v="A0076"/>
    <n v="70"/>
    <x v="1"/>
    <x v="0"/>
    <d v="2024-05-03T00:00:00"/>
    <d v="2024-05-08T00:00:00"/>
    <x v="4"/>
    <x v="2"/>
    <n v="2024"/>
    <x v="1"/>
    <n v="5"/>
    <n v="2"/>
    <n v="5"/>
    <s v="Medium Stay"/>
    <x v="4"/>
  </r>
  <r>
    <s v="A0081"/>
    <n v="60"/>
    <x v="0"/>
    <x v="4"/>
    <d v="2024-04-19T00:00:00"/>
    <d v="2024-04-28T00:00:00"/>
    <x v="4"/>
    <x v="2"/>
    <n v="2024"/>
    <x v="0"/>
    <n v="4"/>
    <n v="2"/>
    <n v="9"/>
    <s v="Long Stay"/>
    <x v="4"/>
  </r>
  <r>
    <s v="A0084"/>
    <n v="67"/>
    <x v="1"/>
    <x v="0"/>
    <d v="2024-04-13T00:00:00"/>
    <d v="2024-04-25T00:00:00"/>
    <x v="2"/>
    <x v="2"/>
    <n v="2024"/>
    <x v="0"/>
    <n v="4"/>
    <n v="2"/>
    <n v="12"/>
    <s v="Long Stay"/>
    <x v="4"/>
  </r>
  <r>
    <s v="A0085"/>
    <n v="18"/>
    <x v="0"/>
    <x v="0"/>
    <d v="2024-04-10T00:00:00"/>
    <d v="2024-04-21T00:00:00"/>
    <x v="2"/>
    <x v="0"/>
    <n v="2024"/>
    <x v="0"/>
    <n v="4"/>
    <n v="2"/>
    <n v="11"/>
    <s v="Long Stay"/>
    <x v="4"/>
  </r>
  <r>
    <s v="A0086"/>
    <n v="84"/>
    <x v="1"/>
    <x v="2"/>
    <d v="2024-04-12T00:00:00"/>
    <d v="2024-04-25T00:00:00"/>
    <x v="3"/>
    <x v="2"/>
    <n v="2024"/>
    <x v="0"/>
    <n v="4"/>
    <n v="2"/>
    <n v="13"/>
    <s v="Long Stay"/>
    <x v="4"/>
  </r>
  <r>
    <s v="A0089"/>
    <n v="78"/>
    <x v="1"/>
    <x v="3"/>
    <d v="2024-05-28T00:00:00"/>
    <d v="2024-05-31T00:00:00"/>
    <x v="2"/>
    <x v="2"/>
    <n v="2024"/>
    <x v="1"/>
    <n v="5"/>
    <n v="2"/>
    <n v="3"/>
    <s v="Short Stay"/>
    <x v="4"/>
  </r>
  <r>
    <s v="A0093"/>
    <n v="45"/>
    <x v="0"/>
    <x v="0"/>
    <d v="2024-05-15T00:00:00"/>
    <d v="2024-05-18T00:00:00"/>
    <x v="1"/>
    <x v="1"/>
    <n v="2024"/>
    <x v="1"/>
    <n v="5"/>
    <n v="2"/>
    <n v="3"/>
    <s v="Short Stay"/>
    <x v="4"/>
  </r>
  <r>
    <s v="A008"/>
    <n v="28"/>
    <x v="1"/>
    <x v="1"/>
    <d v="2024-05-05T00:00:00"/>
    <d v="2024-05-07T00:00:00"/>
    <x v="3"/>
    <x v="0"/>
    <n v="2024"/>
    <x v="1"/>
    <n v="5"/>
    <n v="2"/>
    <n v="2"/>
    <s v="Short Stay"/>
    <x v="5"/>
  </r>
  <r>
    <s v="A0013"/>
    <n v="52"/>
    <x v="0"/>
    <x v="1"/>
    <d v="2024-04-11T00:00:00"/>
    <d v="2024-04-19T00:00:00"/>
    <x v="4"/>
    <x v="1"/>
    <n v="2024"/>
    <x v="0"/>
    <n v="4"/>
    <n v="2"/>
    <n v="8"/>
    <s v="Long Stay"/>
    <x v="5"/>
  </r>
  <r>
    <s v="A0016"/>
    <n v="36"/>
    <x v="1"/>
    <x v="4"/>
    <d v="2024-04-26T00:00:00"/>
    <d v="2024-05-07T00:00:00"/>
    <x v="2"/>
    <x v="0"/>
    <n v="2024"/>
    <x v="0"/>
    <n v="4"/>
    <n v="2"/>
    <n v="11"/>
    <s v="Long Stay"/>
    <x v="5"/>
  </r>
  <r>
    <s v="A0022"/>
    <n v="12"/>
    <x v="1"/>
    <x v="2"/>
    <d v="2024-04-08T00:00:00"/>
    <d v="2024-04-13T00:00:00"/>
    <x v="4"/>
    <x v="3"/>
    <n v="2024"/>
    <x v="0"/>
    <n v="4"/>
    <n v="2"/>
    <n v="5"/>
    <s v="Medium Stay"/>
    <x v="5"/>
  </r>
  <r>
    <s v="A0028"/>
    <n v="88"/>
    <x v="0"/>
    <x v="3"/>
    <d v="2024-04-09T00:00:00"/>
    <d v="2024-04-20T00:00:00"/>
    <x v="3"/>
    <x v="2"/>
    <n v="2024"/>
    <x v="0"/>
    <n v="4"/>
    <n v="2"/>
    <n v="11"/>
    <s v="Long Stay"/>
    <x v="5"/>
  </r>
  <r>
    <s v="A0029"/>
    <n v="45"/>
    <x v="0"/>
    <x v="1"/>
    <d v="2024-05-26T00:00:00"/>
    <d v="2024-06-05T00:00:00"/>
    <x v="4"/>
    <x v="1"/>
    <n v="2024"/>
    <x v="1"/>
    <n v="5"/>
    <n v="2"/>
    <n v="10"/>
    <s v="Long Stay"/>
    <x v="5"/>
  </r>
  <r>
    <s v="A0034"/>
    <n v="45"/>
    <x v="0"/>
    <x v="1"/>
    <d v="2024-04-18T00:00:00"/>
    <d v="2024-04-29T00:00:00"/>
    <x v="3"/>
    <x v="1"/>
    <n v="2024"/>
    <x v="0"/>
    <n v="4"/>
    <n v="2"/>
    <n v="11"/>
    <s v="Long Stay"/>
    <x v="5"/>
  </r>
  <r>
    <s v="A0036"/>
    <n v="63"/>
    <x v="1"/>
    <x v="0"/>
    <d v="2024-04-07T00:00:00"/>
    <d v="2024-04-18T00:00:00"/>
    <x v="1"/>
    <x v="2"/>
    <n v="2024"/>
    <x v="0"/>
    <n v="4"/>
    <n v="2"/>
    <n v="11"/>
    <s v="Long Stay"/>
    <x v="5"/>
  </r>
  <r>
    <s v="A0039"/>
    <n v="41"/>
    <x v="1"/>
    <x v="0"/>
    <d v="2024-04-29T00:00:00"/>
    <d v="2024-05-02T00:00:00"/>
    <x v="2"/>
    <x v="1"/>
    <n v="2024"/>
    <x v="0"/>
    <n v="4"/>
    <n v="2"/>
    <n v="3"/>
    <s v="Short Stay"/>
    <x v="5"/>
  </r>
  <r>
    <s v="A0040"/>
    <n v="88"/>
    <x v="0"/>
    <x v="2"/>
    <d v="2024-05-26T00:00:00"/>
    <d v="2024-05-28T00:00:00"/>
    <x v="3"/>
    <x v="2"/>
    <n v="2024"/>
    <x v="1"/>
    <n v="5"/>
    <n v="2"/>
    <n v="2"/>
    <s v="Short Stay"/>
    <x v="5"/>
  </r>
  <r>
    <s v="A0042"/>
    <n v="25"/>
    <x v="0"/>
    <x v="0"/>
    <d v="2024-05-01T00:00:00"/>
    <d v="2024-05-05T00:00:00"/>
    <x v="0"/>
    <x v="0"/>
    <n v="2024"/>
    <x v="1"/>
    <n v="5"/>
    <n v="2"/>
    <n v="4"/>
    <s v="Medium Stay"/>
    <x v="5"/>
  </r>
  <r>
    <s v="A0043"/>
    <n v="54"/>
    <x v="1"/>
    <x v="1"/>
    <d v="2024-04-25T00:00:00"/>
    <d v="2024-04-30T00:00:00"/>
    <x v="3"/>
    <x v="1"/>
    <n v="2024"/>
    <x v="0"/>
    <n v="4"/>
    <n v="2"/>
    <n v="5"/>
    <s v="Medium Stay"/>
    <x v="5"/>
  </r>
  <r>
    <s v="A0044"/>
    <n v="37"/>
    <x v="0"/>
    <x v="3"/>
    <d v="2024-05-13T00:00:00"/>
    <d v="2024-05-25T00:00:00"/>
    <x v="2"/>
    <x v="0"/>
    <n v="2024"/>
    <x v="1"/>
    <n v="5"/>
    <n v="2"/>
    <n v="12"/>
    <s v="Long Stay"/>
    <x v="5"/>
  </r>
  <r>
    <s v="A0054"/>
    <n v="87"/>
    <x v="1"/>
    <x v="5"/>
    <d v="2024-04-19T00:00:00"/>
    <d v="2024-04-22T00:00:00"/>
    <x v="3"/>
    <x v="2"/>
    <n v="2024"/>
    <x v="0"/>
    <n v="4"/>
    <n v="2"/>
    <n v="3"/>
    <s v="Short Stay"/>
    <x v="5"/>
  </r>
  <r>
    <s v="A0060"/>
    <n v="88"/>
    <x v="1"/>
    <x v="5"/>
    <d v="2024-04-11T00:00:00"/>
    <d v="2024-04-23T00:00:00"/>
    <x v="0"/>
    <x v="2"/>
    <n v="2024"/>
    <x v="0"/>
    <n v="4"/>
    <n v="2"/>
    <n v="12"/>
    <s v="Long Stay"/>
    <x v="5"/>
  </r>
  <r>
    <s v="A0062"/>
    <n v="34"/>
    <x v="0"/>
    <x v="3"/>
    <d v="2024-05-06T00:00:00"/>
    <d v="2024-05-09T00:00:00"/>
    <x v="4"/>
    <x v="0"/>
    <n v="2024"/>
    <x v="1"/>
    <n v="5"/>
    <n v="2"/>
    <n v="3"/>
    <s v="Short Stay"/>
    <x v="5"/>
  </r>
  <r>
    <s v="A0066"/>
    <n v="49"/>
    <x v="1"/>
    <x v="4"/>
    <d v="2024-05-18T00:00:00"/>
    <d v="2024-05-24T00:00:00"/>
    <x v="0"/>
    <x v="1"/>
    <n v="2024"/>
    <x v="1"/>
    <n v="5"/>
    <n v="2"/>
    <n v="6"/>
    <s v="Medium Stay"/>
    <x v="5"/>
  </r>
  <r>
    <s v="A0094"/>
    <n v="71"/>
    <x v="0"/>
    <x v="4"/>
    <d v="2024-04-22T00:00:00"/>
    <d v="2024-05-01T00:00:00"/>
    <x v="1"/>
    <x v="2"/>
    <n v="2024"/>
    <x v="0"/>
    <n v="4"/>
    <n v="2"/>
    <n v="9"/>
    <s v="Long Stay"/>
    <x v="5"/>
  </r>
  <r>
    <s v="A0098"/>
    <n v="61"/>
    <x v="1"/>
    <x v="1"/>
    <d v="2024-05-02T00:00:00"/>
    <d v="2024-05-03T00:00:00"/>
    <x v="2"/>
    <x v="2"/>
    <n v="2024"/>
    <x v="1"/>
    <n v="5"/>
    <n v="2"/>
    <n v="1"/>
    <s v="Short Stay"/>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B70BC6E-8C1E-42B6-88D9-1C25E5B9D782}" name="PivotTable4" cacheId="1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5">
  <location ref="J3:K8" firstHeaderRow="1" firstDataRow="1" firstDataCol="1"/>
  <pivotFields count="15">
    <pivotField dataField="1" showAll="0"/>
    <pivotField showAll="0"/>
    <pivotField showAll="0">
      <items count="3">
        <item x="1"/>
        <item x="0"/>
        <item t="default"/>
      </items>
    </pivotField>
    <pivotField showAll="0" sortType="ascending">
      <items count="7">
        <item x="4"/>
        <item x="5"/>
        <item x="0"/>
        <item x="2"/>
        <item x="3"/>
        <item x="1"/>
        <item t="default"/>
      </items>
      <autoSortScope>
        <pivotArea dataOnly="0" outline="0" fieldPosition="0">
          <references count="1">
            <reference field="4294967294" count="1" selected="0">
              <x v="0"/>
            </reference>
          </references>
        </pivotArea>
      </autoSortScope>
    </pivotField>
    <pivotField numFmtId="14" showAll="0"/>
    <pivotField numFmtId="14" showAll="0"/>
    <pivotField showAll="0" sortType="ascending">
      <autoSortScope>
        <pivotArea dataOnly="0" outline="0" fieldPosition="0">
          <references count="1">
            <reference field="4294967294" count="1" selected="0">
              <x v="0"/>
            </reference>
          </references>
        </pivotArea>
      </autoSortScope>
    </pivotField>
    <pivotField axis="axisRow" showAll="0" sortType="ascending">
      <items count="5">
        <item x="1"/>
        <item x="3"/>
        <item x="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sortType="ascending">
      <items count="10">
        <item x="5"/>
        <item x="4"/>
        <item x="3"/>
        <item x="2"/>
        <item m="1" x="7"/>
        <item m="1" x="8"/>
        <item x="1"/>
        <item m="1" x="6"/>
        <item x="0"/>
        <item t="default"/>
      </items>
      <autoSortScope>
        <pivotArea dataOnly="0" outline="0" fieldPosition="0">
          <references count="1">
            <reference field="4294967294" count="1" selected="0">
              <x v="0"/>
            </reference>
          </references>
        </pivotArea>
      </autoSortScope>
    </pivotField>
  </pivotFields>
  <rowFields count="1">
    <field x="7"/>
  </rowFields>
  <rowItems count="5">
    <i>
      <x v="1"/>
    </i>
    <i>
      <x v="3"/>
    </i>
    <i>
      <x/>
    </i>
    <i>
      <x v="2"/>
    </i>
    <i t="grand">
      <x/>
    </i>
  </rowItems>
  <colItems count="1">
    <i/>
  </colItems>
  <dataFields count="1">
    <dataField name="Total Admissions" fld="0" subtotal="count" baseField="14" baseItem="6"/>
  </dataFields>
  <chartFormats count="17">
    <chartFormat chart="10" format="0" series="1">
      <pivotArea type="data" outline="0" fieldPosition="0">
        <references count="1">
          <reference field="4294967294" count="1" selected="0">
            <x v="0"/>
          </reference>
        </references>
      </pivotArea>
    </chartFormat>
    <chartFormat chart="11" format="1"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18" format="0"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 chart="25" format="0" series="1">
      <pivotArea type="data" outline="0" fieldPosition="0">
        <references count="1">
          <reference field="4294967294" count="1" selected="0">
            <x v="0"/>
          </reference>
        </references>
      </pivotArea>
    </chartFormat>
    <chartFormat chart="27" format="2" series="1">
      <pivotArea type="data" outline="0" fieldPosition="0">
        <references count="1">
          <reference field="4294967294" count="1" selected="0">
            <x v="0"/>
          </reference>
        </references>
      </pivotArea>
    </chartFormat>
    <chartFormat chart="42" format="0" series="1">
      <pivotArea type="data" outline="0" fieldPosition="0">
        <references count="1">
          <reference field="4294967294" count="1" selected="0">
            <x v="0"/>
          </reference>
        </references>
      </pivotArea>
    </chartFormat>
    <chartFormat chart="44" format="6" series="1">
      <pivotArea type="data" outline="0" fieldPosition="0">
        <references count="1">
          <reference field="4294967294" count="1" selected="0">
            <x v="0"/>
          </reference>
        </references>
      </pivotArea>
    </chartFormat>
    <chartFormat chart="44" format="7">
      <pivotArea type="data" outline="0" fieldPosition="0">
        <references count="2">
          <reference field="4294967294" count="1" selected="0">
            <x v="0"/>
          </reference>
          <reference field="7" count="1" selected="0">
            <x v="1"/>
          </reference>
        </references>
      </pivotArea>
    </chartFormat>
    <chartFormat chart="44" format="8">
      <pivotArea type="data" outline="0" fieldPosition="0">
        <references count="2">
          <reference field="4294967294" count="1" selected="0">
            <x v="0"/>
          </reference>
          <reference field="7" count="1" selected="0">
            <x v="3"/>
          </reference>
        </references>
      </pivotArea>
    </chartFormat>
    <chartFormat chart="44" format="9">
      <pivotArea type="data" outline="0" fieldPosition="0">
        <references count="2">
          <reference field="4294967294" count="1" selected="0">
            <x v="0"/>
          </reference>
          <reference field="7" count="1" selected="0">
            <x v="0"/>
          </reference>
        </references>
      </pivotArea>
    </chartFormat>
    <chartFormat chart="44" format="10">
      <pivotArea type="data" outline="0" fieldPosition="0">
        <references count="2">
          <reference field="4294967294" count="1" selected="0">
            <x v="0"/>
          </reference>
          <reference field="7" count="1" selected="0">
            <x v="2"/>
          </reference>
        </references>
      </pivotArea>
    </chartFormat>
    <chartFormat chart="42" format="1">
      <pivotArea type="data" outline="0" fieldPosition="0">
        <references count="2">
          <reference field="4294967294" count="1" selected="0">
            <x v="0"/>
          </reference>
          <reference field="7" count="1" selected="0">
            <x v="1"/>
          </reference>
        </references>
      </pivotArea>
    </chartFormat>
    <chartFormat chart="42" format="2">
      <pivotArea type="data" outline="0" fieldPosition="0">
        <references count="2">
          <reference field="4294967294" count="1" selected="0">
            <x v="0"/>
          </reference>
          <reference field="7" count="1" selected="0">
            <x v="3"/>
          </reference>
        </references>
      </pivotArea>
    </chartFormat>
    <chartFormat chart="42" format="3">
      <pivotArea type="data" outline="0" fieldPosition="0">
        <references count="2">
          <reference field="4294967294" count="1" selected="0">
            <x v="0"/>
          </reference>
          <reference field="7" count="1" selected="0">
            <x v="0"/>
          </reference>
        </references>
      </pivotArea>
    </chartFormat>
    <chartFormat chart="42" format="4">
      <pivotArea type="data" outline="0" fieldPosition="0">
        <references count="2">
          <reference field="4294967294" count="1" selected="0">
            <x v="0"/>
          </reference>
          <reference field="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1FB2015-EE04-4CB4-AD72-D2914BECEB36}" name="PivotTable3" cacheId="1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3">
  <location ref="A3:B10" firstHeaderRow="1" firstDataRow="1" firstDataCol="1"/>
  <pivotFields count="15">
    <pivotField dataField="1" showAll="0"/>
    <pivotField showAll="0"/>
    <pivotField showAll="0">
      <items count="3">
        <item x="1"/>
        <item x="0"/>
        <item t="default"/>
      </items>
    </pivotField>
    <pivotField showAll="0">
      <items count="7">
        <item x="4"/>
        <item x="5"/>
        <item x="0"/>
        <item x="2"/>
        <item x="3"/>
        <item x="1"/>
        <item t="default"/>
      </items>
    </pivotField>
    <pivotField numFmtId="14" showAll="0"/>
    <pivotField numFmtId="14" showAll="0"/>
    <pivotField showAll="0"/>
    <pivotField showAll="0"/>
    <pivotField showAll="0"/>
    <pivotField showAll="0"/>
    <pivotField showAll="0"/>
    <pivotField showAll="0"/>
    <pivotField showAll="0"/>
    <pivotField showAll="0"/>
    <pivotField axis="axisRow" showAll="0" sortType="ascending">
      <items count="10">
        <item x="5"/>
        <item x="4"/>
        <item x="3"/>
        <item x="2"/>
        <item m="1" x="7"/>
        <item m="1" x="8"/>
        <item x="1"/>
        <item m="1" x="6"/>
        <item x="0"/>
        <item t="default"/>
      </items>
      <autoSortScope>
        <pivotArea dataOnly="0" outline="0" fieldPosition="0">
          <references count="1">
            <reference field="4294967294" count="1" selected="0">
              <x v="0"/>
            </reference>
          </references>
        </pivotArea>
      </autoSortScope>
    </pivotField>
  </pivotFields>
  <rowFields count="1">
    <field x="14"/>
  </rowFields>
  <rowItems count="7">
    <i>
      <x v="2"/>
    </i>
    <i>
      <x v="3"/>
    </i>
    <i>
      <x v="1"/>
    </i>
    <i>
      <x v="8"/>
    </i>
    <i>
      <x/>
    </i>
    <i>
      <x v="6"/>
    </i>
    <i t="grand">
      <x/>
    </i>
  </rowItems>
  <colItems count="1">
    <i/>
  </colItems>
  <dataFields count="1">
    <dataField name="Total Admissions" fld="0" subtotal="count" baseField="14" baseItem="6"/>
  </dataFields>
  <chartFormats count="3">
    <chartFormat chart="10" format="0" series="1">
      <pivotArea type="data" outline="0" fieldPosition="0">
        <references count="1">
          <reference field="4294967294" count="1" selected="0">
            <x v="0"/>
          </reference>
        </references>
      </pivotArea>
    </chartFormat>
    <chartFormat chart="11" format="1"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5193FDE-1357-42F0-AF04-3023E1C703A6}" name="PivotTable10" cacheId="1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7">
  <location ref="W3:W4" firstHeaderRow="1" firstDataRow="1" firstDataCol="0"/>
  <pivotFields count="15">
    <pivotField showAll="0"/>
    <pivotField dataField="1" showAll="0"/>
    <pivotField showAll="0">
      <items count="3">
        <item x="1"/>
        <item x="0"/>
        <item t="default"/>
      </items>
    </pivotField>
    <pivotField showAll="0">
      <items count="7">
        <item x="4"/>
        <item x="5"/>
        <item x="0"/>
        <item x="2"/>
        <item x="3"/>
        <item x="1"/>
        <item t="default"/>
      </items>
    </pivotField>
    <pivotField numFmtId="14" showAll="0"/>
    <pivotField numFmtId="14" showAll="0"/>
    <pivotField showAll="0"/>
    <pivotField showAll="0"/>
    <pivotField showAll="0"/>
    <pivotField showAll="0"/>
    <pivotField showAll="0"/>
    <pivotField showAll="0"/>
    <pivotField showAll="0"/>
    <pivotField showAll="0"/>
    <pivotField showAll="0">
      <items count="10">
        <item x="5"/>
        <item x="4"/>
        <item x="3"/>
        <item x="2"/>
        <item m="1" x="7"/>
        <item m="1" x="8"/>
        <item x="1"/>
        <item m="1" x="6"/>
        <item x="0"/>
        <item t="default"/>
      </items>
    </pivotField>
  </pivotFields>
  <rowItems count="1">
    <i/>
  </rowItems>
  <colItems count="1">
    <i/>
  </colItems>
  <dataFields count="1">
    <dataField name="Average of Patient Age" fld="1" subtotal="average" baseField="0" baseItem="32"/>
  </dataFields>
  <formats count="3">
    <format dxfId="138">
      <pivotArea type="all" dataOnly="0" outline="0" fieldPosition="0"/>
    </format>
    <format dxfId="137">
      <pivotArea dataOnly="0" labelOnly="1" outline="0" axis="axisValues" fieldPosition="0"/>
    </format>
    <format dxfId="13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D55625D-34B6-4921-8F02-E8A40FDEEB28}" name="PivotTable8" cacheId="1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7">
  <location ref="S10:S11" firstHeaderRow="1" firstDataRow="1" firstDataCol="0"/>
  <pivotFields count="15">
    <pivotField showAll="0"/>
    <pivotField showAll="0"/>
    <pivotField showAll="0">
      <items count="3">
        <item x="1"/>
        <item x="0"/>
        <item t="default"/>
      </items>
    </pivotField>
    <pivotField showAll="0">
      <items count="7">
        <item x="4"/>
        <item x="5"/>
        <item x="0"/>
        <item x="2"/>
        <item x="3"/>
        <item x="1"/>
        <item t="default"/>
      </items>
    </pivotField>
    <pivotField numFmtId="14" showAll="0"/>
    <pivotField numFmtId="14" showAll="0"/>
    <pivotField showAll="0"/>
    <pivotField showAll="0"/>
    <pivotField showAll="0"/>
    <pivotField showAll="0"/>
    <pivotField showAll="0"/>
    <pivotField showAll="0"/>
    <pivotField dataField="1" showAll="0"/>
    <pivotField showAll="0"/>
    <pivotField showAll="0">
      <items count="10">
        <item x="5"/>
        <item x="4"/>
        <item x="3"/>
        <item x="2"/>
        <item m="1" x="7"/>
        <item m="1" x="8"/>
        <item x="1"/>
        <item m="1" x="6"/>
        <item x="0"/>
        <item t="default"/>
      </items>
    </pivotField>
  </pivotFields>
  <rowItems count="1">
    <i/>
  </rowItems>
  <colItems count="1">
    <i/>
  </colItems>
  <dataFields count="1">
    <dataField name="Average of Los_Final" fld="12" subtotal="average" baseField="0" baseItem="32" numFmtId="2"/>
  </dataFields>
  <formats count="3">
    <format dxfId="141">
      <pivotArea type="all" dataOnly="0" outline="0" fieldPosition="0"/>
    </format>
    <format dxfId="140">
      <pivotArea dataOnly="0" labelOnly="1" outline="0" axis="axisValues" fieldPosition="0"/>
    </format>
    <format dxfId="13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177D52D-67CD-42CF-B6F7-49AD71F45BAB}" name="PivotTable7" cacheId="1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7">
  <location ref="S3:S4" firstHeaderRow="1" firstDataRow="1" firstDataCol="0"/>
  <pivotFields count="15">
    <pivotField dataField="1" showAll="0"/>
    <pivotField showAll="0"/>
    <pivotField showAll="0">
      <items count="3">
        <item x="1"/>
        <item x="0"/>
        <item t="default"/>
      </items>
    </pivotField>
    <pivotField showAll="0">
      <items count="7">
        <item x="4"/>
        <item x="5"/>
        <item x="0"/>
        <item x="2"/>
        <item x="3"/>
        <item x="1"/>
        <item t="default"/>
      </items>
    </pivotField>
    <pivotField numFmtId="14" showAll="0"/>
    <pivotField numFmtId="14" showAll="0"/>
    <pivotField showAll="0"/>
    <pivotField showAll="0"/>
    <pivotField showAll="0"/>
    <pivotField showAll="0"/>
    <pivotField showAll="0"/>
    <pivotField showAll="0"/>
    <pivotField showAll="0"/>
    <pivotField showAll="0"/>
    <pivotField showAll="0">
      <items count="10">
        <item x="5"/>
        <item x="4"/>
        <item x="3"/>
        <item x="2"/>
        <item m="1" x="7"/>
        <item m="1" x="8"/>
        <item x="1"/>
        <item m="1" x="6"/>
        <item x="0"/>
        <item t="default"/>
      </items>
    </pivotField>
  </pivotFields>
  <rowItems count="1">
    <i/>
  </rowItems>
  <colItems count="1">
    <i/>
  </colItems>
  <dataFields count="1">
    <dataField name="Count of Admission ID" fld="0" subtotal="count" baseField="0" baseItem="0" numFmtId="1"/>
  </dataFields>
  <formats count="3">
    <format dxfId="144">
      <pivotArea type="all" dataOnly="0" outline="0" fieldPosition="0"/>
    </format>
    <format dxfId="143">
      <pivotArea outline="0" collapsedLevelsAreSubtotals="1" fieldPosition="0"/>
    </format>
    <format dxfId="14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33F953C-7F50-417E-8099-CEDA3B610450}" name="PivotTable6" cacheId="1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7">
  <location ref="P3:Q10" firstHeaderRow="1" firstDataRow="1" firstDataCol="1"/>
  <pivotFields count="15">
    <pivotField showAll="0"/>
    <pivotField showAll="0"/>
    <pivotField showAll="0">
      <items count="3">
        <item x="1"/>
        <item x="0"/>
        <item t="default"/>
      </items>
    </pivotField>
    <pivotField axis="axisRow" showAll="0" sortType="ascending">
      <items count="7">
        <item x="4"/>
        <item x="5"/>
        <item x="0"/>
        <item x="2"/>
        <item x="3"/>
        <item x="1"/>
        <item t="default"/>
      </items>
      <autoSortScope>
        <pivotArea dataOnly="0" outline="0" fieldPosition="0">
          <references count="1">
            <reference field="4294967294" count="1" selected="0">
              <x v="0"/>
            </reference>
          </references>
        </pivotArea>
      </autoSortScope>
    </pivotField>
    <pivotField numFmtId="14" showAll="0"/>
    <pivotField numFmtId="14" showAll="0"/>
    <pivotField showAll="0">
      <items count="6">
        <item x="0"/>
        <item x="3"/>
        <item x="2"/>
        <item x="4"/>
        <item x="1"/>
        <item t="default"/>
      </items>
    </pivotField>
    <pivotField showAll="0"/>
    <pivotField showAll="0"/>
    <pivotField showAll="0"/>
    <pivotField showAll="0"/>
    <pivotField showAll="0"/>
    <pivotField dataField="1" showAll="0"/>
    <pivotField showAll="0"/>
    <pivotField showAll="0">
      <items count="10">
        <item x="5"/>
        <item x="4"/>
        <item x="3"/>
        <item x="2"/>
        <item m="1" x="7"/>
        <item m="1" x="8"/>
        <item x="1"/>
        <item m="1" x="6"/>
        <item x="0"/>
        <item t="default"/>
      </items>
    </pivotField>
  </pivotFields>
  <rowFields count="1">
    <field x="3"/>
  </rowFields>
  <rowItems count="7">
    <i>
      <x v="1"/>
    </i>
    <i>
      <x v="3"/>
    </i>
    <i>
      <x v="4"/>
    </i>
    <i>
      <x/>
    </i>
    <i>
      <x v="5"/>
    </i>
    <i>
      <x v="2"/>
    </i>
    <i t="grand">
      <x/>
    </i>
  </rowItems>
  <colItems count="1">
    <i/>
  </colItems>
  <dataFields count="1">
    <dataField name="Average of Los_Final" fld="12" subtotal="average" baseField="3" baseItem="2" numFmtId="2"/>
  </dataFields>
  <formats count="3">
    <format dxfId="147">
      <pivotArea collapsedLevelsAreSubtotals="1" fieldPosition="0">
        <references count="1">
          <reference field="3" count="1">
            <x v="1"/>
          </reference>
        </references>
      </pivotArea>
    </format>
    <format dxfId="146">
      <pivotArea outline="0" collapsedLevelsAreSubtotals="1" fieldPosition="0"/>
    </format>
    <format dxfId="145">
      <pivotArea dataOnly="0" labelOnly="1" outline="0" axis="axisValues" fieldPosition="0"/>
    </format>
  </formats>
  <chartFormats count="2">
    <chartFormat chart="63" format="0" series="1">
      <pivotArea type="data" outline="0" fieldPosition="0">
        <references count="1">
          <reference field="4294967294" count="1" selected="0">
            <x v="0"/>
          </reference>
        </references>
      </pivotArea>
    </chartFormat>
    <chartFormat chart="6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2B69F60-8CEA-4B7E-81B8-723D095AF73F}" name="PivotTable12" cacheId="10"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chartFormat="67">
  <location ref="AA3:AA9" firstHeaderRow="1" firstDataRow="1" firstDataCol="1"/>
  <pivotFields count="15">
    <pivotField showAll="0"/>
    <pivotField showAll="0"/>
    <pivotField showAll="0">
      <items count="3">
        <item x="1"/>
        <item x="0"/>
        <item t="default"/>
      </items>
    </pivotField>
    <pivotField showAll="0">
      <items count="7">
        <item x="4"/>
        <item x="5"/>
        <item x="0"/>
        <item x="2"/>
        <item x="3"/>
        <item x="1"/>
        <item t="default"/>
      </items>
    </pivotField>
    <pivotField numFmtId="14" showAll="0"/>
    <pivotField numFmtId="14" showAll="0"/>
    <pivotField axis="axisRow" showAll="0">
      <items count="6">
        <item x="0"/>
        <item x="3"/>
        <item x="2"/>
        <item x="4"/>
        <item x="1"/>
        <item t="default"/>
      </items>
    </pivotField>
    <pivotField showAll="0"/>
    <pivotField showAll="0"/>
    <pivotField showAll="0"/>
    <pivotField showAll="0"/>
    <pivotField showAll="0"/>
    <pivotField showAll="0"/>
    <pivotField showAll="0"/>
    <pivotField showAll="0">
      <items count="10">
        <item x="5"/>
        <item x="4"/>
        <item x="3"/>
        <item x="2"/>
        <item m="1" x="7"/>
        <item m="1" x="8"/>
        <item x="1"/>
        <item m="1" x="6"/>
        <item x="0"/>
        <item t="default"/>
      </items>
    </pivotField>
  </pivotFields>
  <rowFields count="1">
    <field x="6"/>
  </rowFields>
  <rowItems count="6">
    <i>
      <x/>
    </i>
    <i>
      <x v="1"/>
    </i>
    <i>
      <x v="2"/>
    </i>
    <i>
      <x v="3"/>
    </i>
    <i>
      <x v="4"/>
    </i>
    <i t="grand">
      <x/>
    </i>
  </rowItems>
  <colItems count="1">
    <i/>
  </colItems>
  <formats count="3">
    <format dxfId="150">
      <pivotArea type="all" dataOnly="0" outline="0" fieldPosition="0"/>
    </format>
    <format dxfId="149">
      <pivotArea dataOnly="0" labelOnly="1" outline="0" axis="axisValues" fieldPosition="0"/>
    </format>
    <format dxfId="148">
      <pivotArea outline="0" collapsedLevelsAreSubtotals="1" fieldPosition="0"/>
    </format>
  </formats>
  <pivotTableStyleInfo name="PivotStyleLight16" showRowHeaders="1" showColHeaders="1" showRowStripes="0" showColStripes="0" showLastColumn="1"/>
  <filters count="1">
    <filter fld="4" type="dateBetween" evalOrder="-1" id="53" name="Admission Date">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133BE60-C6FD-47FE-B802-D20BE6C8CA53}" name="PivotTable11" cacheId="1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7">
  <location ref="Y3:Y10" firstHeaderRow="1" firstDataRow="1" firstDataCol="1"/>
  <pivotFields count="15">
    <pivotField showAll="0"/>
    <pivotField showAll="0"/>
    <pivotField showAll="0">
      <items count="3">
        <item x="1"/>
        <item x="0"/>
        <item t="default"/>
      </items>
    </pivotField>
    <pivotField axis="axisRow" showAll="0">
      <items count="7">
        <item x="4"/>
        <item x="5"/>
        <item x="0"/>
        <item x="2"/>
        <item x="3"/>
        <item x="1"/>
        <item t="default"/>
      </items>
    </pivotField>
    <pivotField numFmtId="14" showAll="0"/>
    <pivotField numFmtId="14" showAll="0"/>
    <pivotField showAll="0"/>
    <pivotField showAll="0"/>
    <pivotField showAll="0"/>
    <pivotField showAll="0"/>
    <pivotField showAll="0"/>
    <pivotField showAll="0"/>
    <pivotField showAll="0"/>
    <pivotField showAll="0"/>
    <pivotField showAll="0">
      <items count="10">
        <item x="5"/>
        <item x="4"/>
        <item x="3"/>
        <item x="2"/>
        <item m="1" x="7"/>
        <item m="1" x="8"/>
        <item x="1"/>
        <item m="1" x="6"/>
        <item x="0"/>
        <item t="default"/>
      </items>
    </pivotField>
  </pivotFields>
  <rowFields count="1">
    <field x="3"/>
  </rowFields>
  <rowItems count="7">
    <i>
      <x/>
    </i>
    <i>
      <x v="1"/>
    </i>
    <i>
      <x v="2"/>
    </i>
    <i>
      <x v="3"/>
    </i>
    <i>
      <x v="4"/>
    </i>
    <i>
      <x v="5"/>
    </i>
    <i t="grand">
      <x/>
    </i>
  </rowItems>
  <colItems count="1">
    <i/>
  </colItems>
  <formats count="3">
    <format dxfId="153">
      <pivotArea type="all" dataOnly="0" outline="0" fieldPosition="0"/>
    </format>
    <format dxfId="152">
      <pivotArea dataOnly="0" labelOnly="1" outline="0" axis="axisValues" fieldPosition="0"/>
    </format>
    <format dxfId="15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458FC2B-B555-4051-B608-4234E6A55CD6}" name="PivotTable9" cacheId="1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7">
  <location ref="U3:U10" firstHeaderRow="1" firstDataRow="1" firstDataCol="1"/>
  <pivotFields count="15">
    <pivotField showAll="0"/>
    <pivotField showAll="0"/>
    <pivotField showAll="0">
      <items count="3">
        <item x="1"/>
        <item x="0"/>
        <item t="default"/>
      </items>
    </pivotField>
    <pivotField showAll="0">
      <items count="7">
        <item x="4"/>
        <item x="5"/>
        <item x="0"/>
        <item x="2"/>
        <item x="3"/>
        <item x="1"/>
        <item t="default"/>
      </items>
    </pivotField>
    <pivotField numFmtId="14" showAll="0"/>
    <pivotField numFmtId="14" showAll="0"/>
    <pivotField showAll="0"/>
    <pivotField showAll="0"/>
    <pivotField showAll="0"/>
    <pivotField showAll="0"/>
    <pivotField showAll="0"/>
    <pivotField showAll="0"/>
    <pivotField showAll="0"/>
    <pivotField showAll="0"/>
    <pivotField axis="axisRow" showAll="0">
      <items count="10">
        <item x="5"/>
        <item x="4"/>
        <item x="3"/>
        <item x="2"/>
        <item m="1" x="7"/>
        <item m="1" x="8"/>
        <item x="1"/>
        <item m="1" x="6"/>
        <item x="0"/>
        <item t="default"/>
      </items>
    </pivotField>
  </pivotFields>
  <rowFields count="1">
    <field x="14"/>
  </rowFields>
  <rowItems count="7">
    <i>
      <x/>
    </i>
    <i>
      <x v="1"/>
    </i>
    <i>
      <x v="2"/>
    </i>
    <i>
      <x v="3"/>
    </i>
    <i>
      <x v="6"/>
    </i>
    <i>
      <x v="8"/>
    </i>
    <i t="grand">
      <x/>
    </i>
  </rowItems>
  <colItems count="1">
    <i/>
  </colItems>
  <formats count="3">
    <format dxfId="156">
      <pivotArea type="all" dataOnly="0" outline="0" fieldPosition="0"/>
    </format>
    <format dxfId="155">
      <pivotArea dataOnly="0" labelOnly="1" outline="0" axis="axisValues" fieldPosition="0"/>
    </format>
    <format dxfId="15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8D4877E-FEB5-4CB6-9FFC-B13EC30D1EFF}" name="PivotTable1" cacheId="1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1">
  <location ref="D3:E10" firstHeaderRow="1" firstDataRow="1" firstDataCol="1"/>
  <pivotFields count="15">
    <pivotField dataField="1" showAll="0"/>
    <pivotField showAll="0"/>
    <pivotField showAll="0">
      <items count="3">
        <item x="1"/>
        <item x="0"/>
        <item t="default"/>
      </items>
    </pivotField>
    <pivotField axis="axisRow" showAll="0" sortType="ascending">
      <items count="7">
        <item x="4"/>
        <item x="5"/>
        <item x="0"/>
        <item x="2"/>
        <item x="3"/>
        <item x="1"/>
        <item t="default"/>
      </items>
      <autoSortScope>
        <pivotArea dataOnly="0" outline="0" fieldPosition="0">
          <references count="1">
            <reference field="4294967294" count="1" selected="0">
              <x v="0"/>
            </reference>
          </references>
        </pivotArea>
      </autoSortScope>
    </pivotField>
    <pivotField numFmtId="14" showAll="0"/>
    <pivotField numFmtId="14" showAll="0"/>
    <pivotField showAll="0"/>
    <pivotField showAll="0"/>
    <pivotField showAll="0"/>
    <pivotField showAll="0"/>
    <pivotField showAll="0"/>
    <pivotField showAll="0"/>
    <pivotField showAll="0"/>
    <pivotField showAll="0"/>
    <pivotField showAll="0" sortType="ascending">
      <items count="10">
        <item x="5"/>
        <item x="4"/>
        <item x="3"/>
        <item x="2"/>
        <item m="1" x="7"/>
        <item m="1" x="8"/>
        <item x="1"/>
        <item m="1" x="6"/>
        <item x="0"/>
        <item t="default"/>
      </items>
      <autoSortScope>
        <pivotArea dataOnly="0" outline="0" fieldPosition="0">
          <references count="1">
            <reference field="4294967294" count="1" selected="0">
              <x v="0"/>
            </reference>
          </references>
        </pivotArea>
      </autoSortScope>
    </pivotField>
  </pivotFields>
  <rowFields count="1">
    <field x="3"/>
  </rowFields>
  <rowItems count="7">
    <i>
      <x v="3"/>
    </i>
    <i>
      <x v="4"/>
    </i>
    <i>
      <x/>
    </i>
    <i>
      <x v="1"/>
    </i>
    <i>
      <x v="2"/>
    </i>
    <i>
      <x v="5"/>
    </i>
    <i t="grand">
      <x/>
    </i>
  </rowItems>
  <colItems count="1">
    <i/>
  </colItems>
  <dataFields count="1">
    <dataField name="Total Admissions" fld="0" subtotal="count" baseField="14" baseItem="6"/>
  </dataFields>
  <chartFormats count="5">
    <chartFormat chart="10" format="0" series="1">
      <pivotArea type="data" outline="0" fieldPosition="0">
        <references count="1">
          <reference field="4294967294" count="1" selected="0">
            <x v="0"/>
          </reference>
        </references>
      </pivotArea>
    </chartFormat>
    <chartFormat chart="11" format="1"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18" format="0"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137C20B-A59C-4569-B239-7C2A9A334A2D}" name="PivotTable2" cacheId="10"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chartFormat="29">
  <location ref="G3:H9" firstHeaderRow="1" firstDataRow="1" firstDataCol="1"/>
  <pivotFields count="15">
    <pivotField dataField="1" showAll="0"/>
    <pivotField showAll="0"/>
    <pivotField showAll="0">
      <items count="3">
        <item x="1"/>
        <item x="0"/>
        <item t="default"/>
      </items>
    </pivotField>
    <pivotField showAll="0" sortType="ascending">
      <items count="7">
        <item x="4"/>
        <item x="5"/>
        <item x="0"/>
        <item x="2"/>
        <item x="3"/>
        <item x="1"/>
        <item t="default"/>
      </items>
      <autoSortScope>
        <pivotArea dataOnly="0" outline="0" fieldPosition="0">
          <references count="1">
            <reference field="4294967294" count="1" selected="0">
              <x v="0"/>
            </reference>
          </references>
        </pivotArea>
      </autoSortScope>
    </pivotField>
    <pivotField numFmtId="14" showAll="0"/>
    <pivotField numFmtId="14" showAll="0"/>
    <pivotField axis="axisRow" showAll="0" sortType="ascending">
      <items count="6">
        <item x="0"/>
        <item x="3"/>
        <item x="2"/>
        <item x="4"/>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sortType="ascending">
      <items count="10">
        <item x="5"/>
        <item x="4"/>
        <item x="3"/>
        <item x="2"/>
        <item m="1" x="7"/>
        <item m="1" x="8"/>
        <item x="1"/>
        <item m="1" x="6"/>
        <item x="0"/>
        <item t="default"/>
      </items>
      <autoSortScope>
        <pivotArea dataOnly="0" outline="0" fieldPosition="0">
          <references count="1">
            <reference field="4294967294" count="1" selected="0">
              <x v="0"/>
            </reference>
          </references>
        </pivotArea>
      </autoSortScope>
    </pivotField>
  </pivotFields>
  <rowFields count="1">
    <field x="6"/>
  </rowFields>
  <rowItems count="6">
    <i>
      <x/>
    </i>
    <i>
      <x v="4"/>
    </i>
    <i>
      <x v="1"/>
    </i>
    <i>
      <x v="3"/>
    </i>
    <i>
      <x v="2"/>
    </i>
    <i t="grand">
      <x/>
    </i>
  </rowItems>
  <colItems count="1">
    <i/>
  </colItems>
  <dataFields count="1">
    <dataField name="Total Admissions" fld="0" subtotal="count" baseField="14" baseItem="6"/>
  </dataFields>
  <chartFormats count="17">
    <chartFormat chart="10" format="0" series="1">
      <pivotArea type="data" outline="0" fieldPosition="0">
        <references count="1">
          <reference field="4294967294" count="1" selected="0">
            <x v="0"/>
          </reference>
        </references>
      </pivotArea>
    </chartFormat>
    <chartFormat chart="11" format="1"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18" format="0"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 chart="25" format="0" series="1">
      <pivotArea type="data" outline="0" fieldPosition="0">
        <references count="1">
          <reference field="4294967294" count="1" selected="0">
            <x v="0"/>
          </reference>
        </references>
      </pivotArea>
    </chartFormat>
    <chartFormat chart="27" format="2" series="1">
      <pivotArea type="data" outline="0" fieldPosition="0">
        <references count="1">
          <reference field="4294967294" count="1" selected="0">
            <x v="0"/>
          </reference>
        </references>
      </pivotArea>
    </chartFormat>
    <chartFormat chart="27" format="3" series="1">
      <pivotArea type="data" outline="0" fieldPosition="0">
        <references count="2">
          <reference field="4294967294" count="1" selected="0">
            <x v="0"/>
          </reference>
          <reference field="6" count="1" selected="0">
            <x v="4"/>
          </reference>
        </references>
      </pivotArea>
    </chartFormat>
    <chartFormat chart="27" format="4" series="1">
      <pivotArea type="data" outline="0" fieldPosition="0">
        <references count="2">
          <reference field="4294967294" count="1" selected="0">
            <x v="0"/>
          </reference>
          <reference field="6" count="1" selected="0">
            <x v="1"/>
          </reference>
        </references>
      </pivotArea>
    </chartFormat>
    <chartFormat chart="27" format="5" series="1">
      <pivotArea type="data" outline="0" fieldPosition="0">
        <references count="2">
          <reference field="4294967294" count="1" selected="0">
            <x v="0"/>
          </reference>
          <reference field="6" count="1" selected="0">
            <x v="3"/>
          </reference>
        </references>
      </pivotArea>
    </chartFormat>
    <chartFormat chart="27" format="6" series="1">
      <pivotArea type="data" outline="0" fieldPosition="0">
        <references count="2">
          <reference field="4294967294" count="1" selected="0">
            <x v="0"/>
          </reference>
          <reference field="6" count="1" selected="0">
            <x v="2"/>
          </reference>
        </references>
      </pivotArea>
    </chartFormat>
    <chartFormat chart="25" format="1" series="1">
      <pivotArea type="data" outline="0" fieldPosition="0">
        <references count="2">
          <reference field="4294967294" count="1" selected="0">
            <x v="0"/>
          </reference>
          <reference field="6" count="1" selected="0">
            <x v="4"/>
          </reference>
        </references>
      </pivotArea>
    </chartFormat>
    <chartFormat chart="25" format="2" series="1">
      <pivotArea type="data" outline="0" fieldPosition="0">
        <references count="2">
          <reference field="4294967294" count="1" selected="0">
            <x v="0"/>
          </reference>
          <reference field="6" count="1" selected="0">
            <x v="1"/>
          </reference>
        </references>
      </pivotArea>
    </chartFormat>
    <chartFormat chart="25" format="3" series="1">
      <pivotArea type="data" outline="0" fieldPosition="0">
        <references count="2">
          <reference field="4294967294" count="1" selected="0">
            <x v="0"/>
          </reference>
          <reference field="6" count="1" selected="0">
            <x v="3"/>
          </reference>
        </references>
      </pivotArea>
    </chartFormat>
    <chartFormat chart="25" format="4" series="1">
      <pivotArea type="data" outline="0" fieldPosition="0">
        <references count="2">
          <reference field="4294967294" count="1" selected="0">
            <x v="0"/>
          </reference>
          <reference field="6" count="1" selected="0">
            <x v="2"/>
          </reference>
        </references>
      </pivotArea>
    </chartFormat>
    <chartFormat chart="27" format="7" series="1">
      <pivotArea type="data" outline="0" fieldPosition="0">
        <references count="2">
          <reference field="4294967294" count="1" selected="0">
            <x v="0"/>
          </reference>
          <reference field="6" count="1" selected="0">
            <x v="0"/>
          </reference>
        </references>
      </pivotArea>
    </chartFormat>
    <chartFormat chart="27" format="7">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filters count="1">
    <filter fld="4" type="dateBetween" evalOrder="-1" id="51" name="Admission Date">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B7E114B4-1FFF-4D37-B9A6-9AFEDB465A45}" name="PivotTable5" cacheId="1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4">
  <location ref="M3:N6" firstHeaderRow="1" firstDataRow="1" firstDataCol="1"/>
  <pivotFields count="15">
    <pivotField dataField="1" showAll="0"/>
    <pivotField showAll="0"/>
    <pivotField showAll="0">
      <items count="3">
        <item x="1"/>
        <item x="0"/>
        <item t="default"/>
      </items>
    </pivotField>
    <pivotField showAll="0" sortType="ascending">
      <items count="7">
        <item x="4"/>
        <item x="5"/>
        <item x="0"/>
        <item x="2"/>
        <item x="3"/>
        <item x="1"/>
        <item t="default"/>
      </items>
      <autoSortScope>
        <pivotArea dataOnly="0" outline="0" fieldPosition="0">
          <references count="1">
            <reference field="4294967294" count="1" selected="0">
              <x v="0"/>
            </reference>
          </references>
        </pivotArea>
      </autoSortScope>
    </pivotField>
    <pivotField numFmtId="14" showAll="0"/>
    <pivotField numFmtId="14" showAll="0"/>
    <pivotField showAll="0" sortType="ascending">
      <autoSortScope>
        <pivotArea dataOnly="0" outline="0" fieldPosition="0">
          <references count="1">
            <reference field="4294967294" count="1" selected="0">
              <x v="0"/>
            </reference>
          </references>
        </pivotArea>
      </autoSortScope>
    </pivotField>
    <pivotField showAll="0" sortType="ascending">
      <autoSortScope>
        <pivotArea dataOnly="0" outline="0" fieldPosition="0">
          <references count="1">
            <reference field="4294967294" count="1" selected="0">
              <x v="0"/>
            </reference>
          </references>
        </pivotArea>
      </autoSortScope>
    </pivotField>
    <pivotField showAll="0"/>
    <pivotField axis="axisRow" showAll="0">
      <items count="3">
        <item x="0"/>
        <item x="1"/>
        <item t="default"/>
      </items>
    </pivotField>
    <pivotField showAll="0"/>
    <pivotField showAll="0"/>
    <pivotField showAll="0"/>
    <pivotField showAll="0"/>
    <pivotField showAll="0" sortType="ascending">
      <items count="10">
        <item x="5"/>
        <item x="4"/>
        <item x="3"/>
        <item x="2"/>
        <item m="1" x="7"/>
        <item m="1" x="8"/>
        <item x="1"/>
        <item m="1" x="6"/>
        <item x="0"/>
        <item t="default"/>
      </items>
      <autoSortScope>
        <pivotArea dataOnly="0" outline="0" fieldPosition="0">
          <references count="1">
            <reference field="4294967294" count="1" selected="0">
              <x v="0"/>
            </reference>
          </references>
        </pivotArea>
      </autoSortScope>
    </pivotField>
  </pivotFields>
  <rowFields count="1">
    <field x="9"/>
  </rowFields>
  <rowItems count="3">
    <i>
      <x/>
    </i>
    <i>
      <x v="1"/>
    </i>
    <i t="grand">
      <x/>
    </i>
  </rowItems>
  <colItems count="1">
    <i/>
  </colItems>
  <dataFields count="1">
    <dataField name="Total Admissions" fld="0" subtotal="count" baseField="14" baseItem="6"/>
  </dataFields>
  <chartFormats count="11">
    <chartFormat chart="10" format="0" series="1">
      <pivotArea type="data" outline="0" fieldPosition="0">
        <references count="1">
          <reference field="4294967294" count="1" selected="0">
            <x v="0"/>
          </reference>
        </references>
      </pivotArea>
    </chartFormat>
    <chartFormat chart="11" format="1"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18" format="0"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 chart="25" format="0" series="1">
      <pivotArea type="data" outline="0" fieldPosition="0">
        <references count="1">
          <reference field="4294967294" count="1" selected="0">
            <x v="0"/>
          </reference>
        </references>
      </pivotArea>
    </chartFormat>
    <chartFormat chart="27" format="2" series="1">
      <pivotArea type="data" outline="0" fieldPosition="0">
        <references count="1">
          <reference field="4294967294" count="1" selected="0">
            <x v="0"/>
          </reference>
        </references>
      </pivotArea>
    </chartFormat>
    <chartFormat chart="42" format="0" series="1">
      <pivotArea type="data" outline="0" fieldPosition="0">
        <references count="1">
          <reference field="4294967294" count="1" selected="0">
            <x v="0"/>
          </reference>
        </references>
      </pivotArea>
    </chartFormat>
    <chartFormat chart="44" format="6" series="1">
      <pivotArea type="data" outline="0" fieldPosition="0">
        <references count="1">
          <reference field="4294967294" count="1" selected="0">
            <x v="0"/>
          </reference>
        </references>
      </pivotArea>
    </chartFormat>
    <chartFormat chart="51" format="0" series="1">
      <pivotArea type="data" outline="0" fieldPosition="0">
        <references count="1">
          <reference field="4294967294" count="1" selected="0">
            <x v="0"/>
          </reference>
        </references>
      </pivotArea>
    </chartFormat>
    <chartFormat chart="5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25AE545D-C4AE-46DC-B1BD-1D05BC8AC914}" autoFormatId="16" applyNumberFormats="0" applyBorderFormats="0" applyFontFormats="0" applyPatternFormats="0" applyAlignmentFormats="0" applyWidthHeightFormats="0">
  <queryTableRefresh nextId="31">
    <queryTableFields count="15">
      <queryTableField id="1" name="Admission ID" tableColumnId="1"/>
      <queryTableField id="3" name="Patient Age" tableColumnId="3"/>
      <queryTableField id="4" name="Gender" tableColumnId="4"/>
      <queryTableField id="5" name="Diagnosis" tableColumnId="5"/>
      <queryTableField id="6" name="Admission Date" tableColumnId="6"/>
      <queryTableField id="7" name="Discharge Date" tableColumnId="7"/>
      <queryTableField id="9" name="Patient Region" tableColumnId="9"/>
      <queryTableField id="11" name="Age_Group" tableColumnId="11"/>
      <queryTableField id="12" name="Admission_Year" tableColumnId="12"/>
      <queryTableField id="13" name="Admission_Month" tableColumnId="13"/>
      <queryTableField id="14" name="Month_Number" tableColumnId="14"/>
      <queryTableField id="15" name="Admission_Quarter" tableColumnId="15"/>
      <queryTableField id="16" name="Los_Final" tableColumnId="16"/>
      <queryTableField id="17" name="Stay Category" tableColumnId="17"/>
      <queryTableField id="2" name="Hospital"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ospital" xr10:uid="{0D04CADD-6359-4A66-A944-83401C7D7542}" sourceName="Hospital">
  <pivotTables>
    <pivotTable tabId="4" name="PivotTable9"/>
    <pivotTable tabId="4" name="PivotTable1"/>
    <pivotTable tabId="4" name="PivotTable10"/>
    <pivotTable tabId="4" name="PivotTable11"/>
    <pivotTable tabId="4" name="PivotTable12"/>
    <pivotTable tabId="4" name="PivotTable2"/>
    <pivotTable tabId="4" name="PivotTable3"/>
    <pivotTable tabId="4" name="PivotTable4"/>
    <pivotTable tabId="4" name="PivotTable5"/>
    <pivotTable tabId="4" name="PivotTable6"/>
    <pivotTable tabId="4" name="PivotTable7"/>
    <pivotTable tabId="4" name="PivotTable8"/>
  </pivotTables>
  <data>
    <tabular pivotCacheId="123559299" customListSort="0" showMissing="0" crossFilter="none">
      <items count="9">
        <i x="5" s="1"/>
        <i x="4" s="1"/>
        <i x="3" s="1"/>
        <i x="2" s="1"/>
        <i x="1" s="1"/>
        <i x="0" s="1"/>
        <i x="7" s="1"/>
        <i x="8" s="1"/>
        <i x="6"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agnosis" xr10:uid="{27C4B57E-6340-44F5-9678-3BFCC740F3CE}" sourceName="Diagnosis">
  <pivotTables>
    <pivotTable tabId="4" name="PivotTable12"/>
    <pivotTable tabId="4" name="PivotTable1"/>
    <pivotTable tabId="4" name="PivotTable10"/>
    <pivotTable tabId="4" name="PivotTable11"/>
    <pivotTable tabId="4" name="PivotTable2"/>
    <pivotTable tabId="4" name="PivotTable3"/>
    <pivotTable tabId="4" name="PivotTable4"/>
    <pivotTable tabId="4" name="PivotTable5"/>
    <pivotTable tabId="4" name="PivotTable6"/>
    <pivotTable tabId="4" name="PivotTable7"/>
    <pivotTable tabId="4" name="PivotTable8"/>
    <pivotTable tabId="4" name="PivotTable9"/>
  </pivotTables>
  <data>
    <tabular pivotCacheId="123559299" customListSort="0" showMissing="0" crossFilter="showItemsWithNoData">
      <items count="6">
        <i x="4" s="1"/>
        <i x="5" s="1"/>
        <i x="0" s="1"/>
        <i x="2" s="1"/>
        <i x="3"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3A4651C4-EEDB-48EA-B2E8-F316A30176B3}" sourceName="Gender">
  <pivotTables>
    <pivotTable tabId="4" name="PivotTable12"/>
    <pivotTable tabId="4" name="PivotTable1"/>
    <pivotTable tabId="4" name="PivotTable10"/>
    <pivotTable tabId="4" name="PivotTable11"/>
    <pivotTable tabId="4" name="PivotTable2"/>
    <pivotTable tabId="4" name="PivotTable3"/>
    <pivotTable tabId="4" name="PivotTable4"/>
    <pivotTable tabId="4" name="PivotTable5"/>
    <pivotTable tabId="4" name="PivotTable6"/>
    <pivotTable tabId="4" name="PivotTable7"/>
    <pivotTable tabId="4" name="PivotTable8"/>
    <pivotTable tabId="4" name="PivotTable9"/>
  </pivotTables>
  <data>
    <tabular pivotCacheId="123559299" customListSort="0" showMissing="0" crossFilter="none">
      <items count="2">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tient_Region" xr10:uid="{96B4ACDD-3F28-4E29-9357-D735AA213D62}" sourceName="Patient Region">
  <pivotTables>
    <pivotTable tabId="4" name="PivotTable2"/>
    <pivotTable tabId="4" name="PivotTable6"/>
  </pivotTables>
  <data>
    <tabular pivotCacheId="123559299" customListSort="0" showMissing="0" crossFilter="none">
      <items count="5">
        <i x="0" s="1"/>
        <i x="3" s="1"/>
        <i x="2" s="1"/>
        <i x="4"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ospital" xr10:uid="{81A6F628-9EA6-47D1-850E-E37D998DE019}" cache="Slicer_Hospital" caption="Hospital" startItem="2" showCaption="0" style="SlicerStyleDark6" rowHeight="220133"/>
  <slicer name="Diagnosis" xr10:uid="{7D25BA6E-986C-4405-A1A4-C0C2AB41CB60}" cache="Slicer_Diagnosis" caption="Diagnosis" startItem="4" showCaption="0" style="SlicerStyleDark6" rowHeight="220133"/>
  <slicer name="Gender" xr10:uid="{03B4FCAB-8E60-4C99-AC17-2EE8A0C7C566}" cache="Slicer_Gender" caption="Gender" showCaption="0" style="SlicerStyleDark6" rowHeight="220133"/>
  <slicer name="Patient Region" xr10:uid="{5ADCAD7A-C1E7-41DE-A77A-70E12469364F}" cache="Slicer_Patient_Region" caption="Patient Region" showCaption="0" style="SlicerStyleDark6" rowHeight="220133"/>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0F8CC44-AC13-4130-BB60-99A6D1F6577A}" name="Table2" displayName="Table2" ref="A1:I104" totalsRowShown="0" headerRowDxfId="168" dataDxfId="167">
  <autoFilter ref="A1:I104" xr:uid="{10F8CC44-AC13-4130-BB60-99A6D1F6577A}"/>
  <tableColumns count="9">
    <tableColumn id="1" xr3:uid="{2229DE42-ACF5-41FB-8229-681766AA68E5}" name="Admission ID" dataDxfId="166"/>
    <tableColumn id="2" xr3:uid="{9A118765-13C5-47EB-B3CD-D07990B6700E}" name="Hospital" dataDxfId="165"/>
    <tableColumn id="3" xr3:uid="{837690C5-C831-4F7C-873F-A877EE0DCA47}" name="Patient Age" dataDxfId="164"/>
    <tableColumn id="4" xr3:uid="{FE723712-9CCF-4F9B-AD50-D91257F1B12E}" name="Gender" dataDxfId="163"/>
    <tableColumn id="5" xr3:uid="{1118B4AA-1252-4DA2-8B7C-3C9EAB9CD86B}" name="Diagnosis" dataDxfId="162"/>
    <tableColumn id="6" xr3:uid="{7E90E386-0B8F-4734-BBFE-2EBB5846F1BD}" name="Admission Date" dataDxfId="161"/>
    <tableColumn id="7" xr3:uid="{2812D155-0969-4766-9382-151B0F7D87E6}" name="Discharge Date" dataDxfId="160"/>
    <tableColumn id="8" xr3:uid="{5D1A892D-9AAF-441C-88DB-741636129B55}" name="LoS" dataDxfId="159"/>
    <tableColumn id="9" xr3:uid="{68E82B67-272E-4C3A-AC3B-8019204BC59D}" name="Patient Region" dataDxfId="15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B614519-47ED-4F61-BC04-85688701C0CA}" name="Fact_Admission" displayName="Fact_Admission" ref="A1:O101" tableType="queryTable" totalsRowShown="0" headerRowDxfId="157">
  <tableColumns count="15">
    <tableColumn id="1" xr3:uid="{4553622D-2489-4F7F-B9FB-B69A51BB2A94}" uniqueName="1" name="Admission ID" queryTableFieldId="1" dataDxfId="9"/>
    <tableColumn id="3" xr3:uid="{CB585042-312F-48E1-B245-64FD28A5246D}" uniqueName="3" name="Patient Age" queryTableFieldId="3"/>
    <tableColumn id="4" xr3:uid="{B50FB453-9D2C-4CB3-9301-342ADA65E51F}" uniqueName="4" name="Gender" queryTableFieldId="4" dataDxfId="8"/>
    <tableColumn id="5" xr3:uid="{0C24CF4D-8937-40F5-A328-0F67A3CC3013}" uniqueName="5" name="Diagnosis" queryTableFieldId="5" dataDxfId="7"/>
    <tableColumn id="6" xr3:uid="{A72E017A-C961-482E-8A55-71E1602D9C9E}" uniqueName="6" name="Admission Date" queryTableFieldId="6" dataDxfId="6"/>
    <tableColumn id="7" xr3:uid="{6376643A-D4CD-45B7-832E-58030D81CEB5}" uniqueName="7" name="Discharge Date" queryTableFieldId="7" dataDxfId="5"/>
    <tableColumn id="9" xr3:uid="{BA070422-669A-4886-81FB-D961E36491D6}" uniqueName="9" name="Patient Region" queryTableFieldId="9" dataDxfId="4"/>
    <tableColumn id="11" xr3:uid="{1B1625CC-7745-4843-BBDB-8CE8CA74CA57}" uniqueName="11" name="Age_Group" queryTableFieldId="11" dataDxfId="3"/>
    <tableColumn id="12" xr3:uid="{2973A25E-1BA0-49FD-A416-A0973DF522DE}" uniqueName="12" name="Admission_Year" queryTableFieldId="12"/>
    <tableColumn id="13" xr3:uid="{C8CD5936-C966-417E-88A9-774A6CF7DB2F}" uniqueName="13" name="Admission_Month" queryTableFieldId="13" dataDxfId="2"/>
    <tableColumn id="14" xr3:uid="{B391D4DA-9DE6-407D-8442-B90FDCACEB59}" uniqueName="14" name="Month_Number" queryTableFieldId="14"/>
    <tableColumn id="15" xr3:uid="{A3698F3B-0C17-47E9-9BB8-F932F87F2DD0}" uniqueName="15" name="Admission_Quarter" queryTableFieldId="15"/>
    <tableColumn id="16" xr3:uid="{58D06307-F874-449E-9E1A-7FB26CD0982C}" uniqueName="16" name="Los_Final" queryTableFieldId="16"/>
    <tableColumn id="17" xr3:uid="{9B29F4E1-D45A-49CE-8D9F-C7A51B937E00}" uniqueName="17" name="Stay Category" queryTableFieldId="17" dataDxfId="1"/>
    <tableColumn id="2" xr3:uid="{9A95F5D1-C39C-439C-BFD6-5C27C0654644}" uniqueName="2" name="Hospital" queryTableFieldId="2" dataDxfId="0"/>
  </tableColumns>
  <tableStyleInfo name="TableStyleMedium14"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M104"/>
  <sheetViews>
    <sheetView topLeftCell="A2" workbookViewId="0">
      <selection activeCell="A2" sqref="A2:I104"/>
    </sheetView>
  </sheetViews>
  <sheetFormatPr defaultColWidth="12.6328125" defaultRowHeight="15.75" customHeight="1"/>
  <cols>
    <col min="1" max="1" width="15" customWidth="1"/>
    <col min="3" max="3" width="13.453125" customWidth="1"/>
    <col min="6" max="6" width="17.36328125" customWidth="1"/>
    <col min="7" max="7" width="17" customWidth="1"/>
    <col min="9" max="9" width="16.36328125" customWidth="1"/>
  </cols>
  <sheetData>
    <row r="1" spans="1:13">
      <c r="A1" s="1" t="s">
        <v>0</v>
      </c>
      <c r="B1" s="1" t="s">
        <v>1</v>
      </c>
      <c r="C1" s="1" t="s">
        <v>2</v>
      </c>
      <c r="D1" s="1" t="s">
        <v>3</v>
      </c>
      <c r="E1" s="1" t="s">
        <v>4</v>
      </c>
      <c r="F1" s="1" t="s">
        <v>5</v>
      </c>
      <c r="G1" s="1" t="s">
        <v>6</v>
      </c>
      <c r="H1" s="2" t="s">
        <v>7</v>
      </c>
      <c r="I1" s="1" t="s">
        <v>8</v>
      </c>
      <c r="J1" s="1"/>
      <c r="K1" s="1"/>
      <c r="L1" s="1"/>
      <c r="M1" s="1"/>
    </row>
    <row r="2" spans="1:13">
      <c r="A2" s="1" t="s">
        <v>9</v>
      </c>
      <c r="B2" s="1" t="s">
        <v>10</v>
      </c>
      <c r="C2" s="3">
        <v>31</v>
      </c>
      <c r="D2" s="1" t="s">
        <v>11</v>
      </c>
      <c r="E2" s="1" t="s">
        <v>12</v>
      </c>
      <c r="F2" s="3">
        <v>45392</v>
      </c>
      <c r="G2" s="3">
        <v>45396</v>
      </c>
      <c r="H2" s="3">
        <v>4</v>
      </c>
      <c r="I2" s="1" t="s">
        <v>13</v>
      </c>
      <c r="J2" s="1"/>
      <c r="K2" s="1"/>
      <c r="L2" s="1"/>
      <c r="M2" s="1"/>
    </row>
    <row r="3" spans="1:13">
      <c r="A3" s="1" t="s">
        <v>14</v>
      </c>
      <c r="B3" s="1" t="s">
        <v>10</v>
      </c>
      <c r="C3" s="3">
        <v>51</v>
      </c>
      <c r="D3" s="1" t="s">
        <v>11</v>
      </c>
      <c r="E3" s="1" t="s">
        <v>15</v>
      </c>
      <c r="F3" s="3">
        <v>45405</v>
      </c>
      <c r="G3" s="3">
        <v>45419</v>
      </c>
      <c r="H3" s="3">
        <v>14</v>
      </c>
      <c r="I3" s="1" t="s">
        <v>16</v>
      </c>
      <c r="J3" s="1"/>
      <c r="K3" s="1"/>
      <c r="L3" s="1"/>
      <c r="M3" s="1"/>
    </row>
    <row r="4" spans="1:13">
      <c r="A4" s="1" t="s">
        <v>17</v>
      </c>
      <c r="B4" s="1" t="s">
        <v>10</v>
      </c>
      <c r="C4" s="3">
        <v>42</v>
      </c>
      <c r="D4" s="1" t="s">
        <v>11</v>
      </c>
      <c r="E4" s="1" t="s">
        <v>18</v>
      </c>
      <c r="F4" s="3">
        <v>45439</v>
      </c>
      <c r="G4" s="3">
        <v>45453</v>
      </c>
      <c r="H4" s="3">
        <v>14</v>
      </c>
      <c r="I4" s="1" t="s">
        <v>19</v>
      </c>
      <c r="J4" s="1"/>
      <c r="K4" s="1"/>
      <c r="L4" s="1"/>
      <c r="M4" s="1"/>
    </row>
    <row r="5" spans="1:13">
      <c r="A5" s="1" t="s">
        <v>20</v>
      </c>
      <c r="B5" s="1" t="s">
        <v>10</v>
      </c>
      <c r="C5" s="3">
        <v>38</v>
      </c>
      <c r="D5" s="1" t="s">
        <v>21</v>
      </c>
      <c r="E5" s="1" t="s">
        <v>22</v>
      </c>
      <c r="F5" s="3">
        <v>45412</v>
      </c>
      <c r="G5" s="3">
        <v>45423</v>
      </c>
      <c r="H5" s="3">
        <v>11</v>
      </c>
      <c r="I5" s="1" t="s">
        <v>19</v>
      </c>
      <c r="J5" s="1"/>
      <c r="K5" s="1"/>
      <c r="L5" s="1"/>
      <c r="M5" s="1"/>
    </row>
    <row r="6" spans="1:13">
      <c r="A6" s="1" t="s">
        <v>23</v>
      </c>
      <c r="B6" s="1" t="s">
        <v>10</v>
      </c>
      <c r="C6" s="3">
        <v>48</v>
      </c>
      <c r="D6" s="1" t="s">
        <v>11</v>
      </c>
      <c r="E6" s="1" t="s">
        <v>24</v>
      </c>
      <c r="F6" s="3">
        <v>45390</v>
      </c>
      <c r="G6" s="3">
        <v>45396</v>
      </c>
      <c r="H6" s="3">
        <v>6</v>
      </c>
      <c r="I6" s="1" t="s">
        <v>25</v>
      </c>
      <c r="J6" s="1"/>
      <c r="K6" s="1"/>
      <c r="L6" s="1"/>
      <c r="M6" s="1"/>
    </row>
    <row r="7" spans="1:13">
      <c r="A7" s="1" t="s">
        <v>26</v>
      </c>
      <c r="B7" s="1" t="s">
        <v>10</v>
      </c>
      <c r="C7" s="3">
        <v>48</v>
      </c>
      <c r="D7" s="1" t="s">
        <v>21</v>
      </c>
      <c r="E7" s="1" t="s">
        <v>12</v>
      </c>
      <c r="F7" s="3">
        <v>45425</v>
      </c>
      <c r="G7" s="3">
        <v>45437</v>
      </c>
      <c r="H7" s="3">
        <v>12</v>
      </c>
      <c r="I7" s="1" t="s">
        <v>19</v>
      </c>
      <c r="J7" s="1"/>
      <c r="K7" s="1"/>
      <c r="L7" s="1"/>
      <c r="M7" s="1"/>
    </row>
    <row r="8" spans="1:13">
      <c r="A8" s="1" t="s">
        <v>27</v>
      </c>
      <c r="B8" s="1" t="s">
        <v>10</v>
      </c>
      <c r="C8" s="3">
        <v>76</v>
      </c>
      <c r="D8" s="1" t="s">
        <v>21</v>
      </c>
      <c r="E8" s="1" t="s">
        <v>18</v>
      </c>
      <c r="F8" s="3">
        <v>45425</v>
      </c>
      <c r="G8" s="3">
        <v>45436</v>
      </c>
      <c r="H8" s="3">
        <v>11</v>
      </c>
      <c r="I8" s="1" t="s">
        <v>13</v>
      </c>
      <c r="J8" s="1"/>
      <c r="K8" s="1"/>
      <c r="L8" s="1"/>
      <c r="M8" s="1"/>
    </row>
    <row r="9" spans="1:13">
      <c r="A9" s="1" t="s">
        <v>28</v>
      </c>
      <c r="B9" s="1" t="s">
        <v>10</v>
      </c>
      <c r="C9" s="3">
        <v>24</v>
      </c>
      <c r="D9" s="1" t="s">
        <v>11</v>
      </c>
      <c r="E9" s="1" t="s">
        <v>15</v>
      </c>
      <c r="F9" s="3">
        <v>45415</v>
      </c>
      <c r="G9" s="3">
        <v>45423</v>
      </c>
      <c r="H9" s="3">
        <v>8</v>
      </c>
      <c r="I9" s="1" t="s">
        <v>16</v>
      </c>
      <c r="J9" s="1"/>
      <c r="K9" s="1"/>
      <c r="L9" s="1"/>
      <c r="M9" s="1"/>
    </row>
    <row r="10" spans="1:13">
      <c r="A10" s="1" t="s">
        <v>29</v>
      </c>
      <c r="B10" s="1" t="s">
        <v>10</v>
      </c>
      <c r="C10" s="3">
        <v>89</v>
      </c>
      <c r="D10" s="1" t="s">
        <v>21</v>
      </c>
      <c r="E10" s="1" t="s">
        <v>30</v>
      </c>
      <c r="F10" s="3">
        <v>45425</v>
      </c>
      <c r="G10" s="3">
        <v>45427</v>
      </c>
      <c r="H10" s="3">
        <v>2</v>
      </c>
      <c r="I10" s="1" t="s">
        <v>19</v>
      </c>
      <c r="J10" s="1"/>
      <c r="K10" s="1"/>
      <c r="L10" s="1"/>
      <c r="M10" s="1"/>
    </row>
    <row r="11" spans="1:13">
      <c r="A11" s="1" t="s">
        <v>31</v>
      </c>
      <c r="B11" s="1" t="s">
        <v>10</v>
      </c>
      <c r="C11" s="3">
        <v>26</v>
      </c>
      <c r="D11" s="1" t="s">
        <v>21</v>
      </c>
      <c r="E11" s="1" t="s">
        <v>22</v>
      </c>
      <c r="F11" s="3">
        <v>45408</v>
      </c>
      <c r="G11" s="3">
        <v>45414</v>
      </c>
      <c r="H11" s="3">
        <v>6</v>
      </c>
      <c r="I11" s="1" t="s">
        <v>25</v>
      </c>
      <c r="J11" s="1"/>
      <c r="K11" s="1"/>
      <c r="L11" s="1"/>
      <c r="M11" s="1"/>
    </row>
    <row r="12" spans="1:13">
      <c r="A12" s="1" t="s">
        <v>32</v>
      </c>
      <c r="B12" s="1" t="s">
        <v>10</v>
      </c>
      <c r="C12" s="3">
        <v>22</v>
      </c>
      <c r="D12" s="1" t="s">
        <v>11</v>
      </c>
      <c r="E12" s="1" t="s">
        <v>30</v>
      </c>
      <c r="F12" s="3">
        <v>45394</v>
      </c>
      <c r="G12" s="3">
        <v>45404</v>
      </c>
      <c r="H12" s="3">
        <v>10</v>
      </c>
      <c r="I12" s="1" t="s">
        <v>16</v>
      </c>
      <c r="J12" s="1"/>
      <c r="K12" s="1"/>
      <c r="L12" s="1"/>
      <c r="M12" s="1"/>
    </row>
    <row r="13" spans="1:13">
      <c r="A13" s="1" t="s">
        <v>33</v>
      </c>
      <c r="B13" s="1" t="s">
        <v>10</v>
      </c>
      <c r="C13" s="3">
        <v>73</v>
      </c>
      <c r="D13" s="1" t="s">
        <v>11</v>
      </c>
      <c r="E13" s="1" t="s">
        <v>12</v>
      </c>
      <c r="F13" s="3">
        <v>45405</v>
      </c>
      <c r="G13" s="3">
        <v>45417</v>
      </c>
      <c r="H13" s="3">
        <v>12</v>
      </c>
      <c r="I13" s="1" t="s">
        <v>25</v>
      </c>
      <c r="J13" s="1"/>
      <c r="K13" s="1"/>
      <c r="L13" s="1"/>
      <c r="M13" s="1"/>
    </row>
    <row r="14" spans="1:13">
      <c r="A14" s="1" t="s">
        <v>34</v>
      </c>
      <c r="B14" s="1" t="s">
        <v>10</v>
      </c>
      <c r="C14" s="3">
        <v>58</v>
      </c>
      <c r="D14" s="1" t="s">
        <v>11</v>
      </c>
      <c r="E14" s="1" t="s">
        <v>15</v>
      </c>
      <c r="F14" s="3">
        <v>45443</v>
      </c>
      <c r="G14" s="3">
        <v>45454</v>
      </c>
      <c r="H14" s="3">
        <v>11</v>
      </c>
      <c r="I14" s="1" t="s">
        <v>35</v>
      </c>
      <c r="J14" s="1"/>
      <c r="K14" s="1"/>
      <c r="L14" s="1"/>
      <c r="M14" s="1"/>
    </row>
    <row r="15" spans="1:13">
      <c r="A15" s="1" t="s">
        <v>36</v>
      </c>
      <c r="B15" s="1" t="s">
        <v>10</v>
      </c>
      <c r="C15" s="3">
        <v>69</v>
      </c>
      <c r="D15" s="1" t="s">
        <v>11</v>
      </c>
      <c r="E15" s="1" t="s">
        <v>22</v>
      </c>
      <c r="F15" s="3">
        <v>45422</v>
      </c>
      <c r="G15" s="3">
        <v>45432</v>
      </c>
      <c r="H15" s="3">
        <v>10</v>
      </c>
      <c r="I15" s="1" t="s">
        <v>35</v>
      </c>
      <c r="J15" s="1"/>
      <c r="K15" s="1"/>
      <c r="L15" s="1"/>
      <c r="M15" s="1"/>
    </row>
    <row r="16" spans="1:13">
      <c r="A16" s="1" t="s">
        <v>37</v>
      </c>
      <c r="B16" s="1" t="s">
        <v>10</v>
      </c>
      <c r="C16" s="3">
        <v>74</v>
      </c>
      <c r="D16" s="1" t="s">
        <v>21</v>
      </c>
      <c r="E16" s="1" t="s">
        <v>30</v>
      </c>
      <c r="F16" s="3">
        <v>45418</v>
      </c>
      <c r="G16" s="3">
        <v>45428</v>
      </c>
      <c r="H16" s="3">
        <v>10</v>
      </c>
      <c r="I16" s="1" t="s">
        <v>16</v>
      </c>
      <c r="J16" s="1"/>
      <c r="K16" s="1"/>
      <c r="L16" s="1"/>
      <c r="M16" s="1"/>
    </row>
    <row r="17" spans="1:13">
      <c r="A17" s="1" t="s">
        <v>38</v>
      </c>
      <c r="B17" s="1" t="s">
        <v>10</v>
      </c>
      <c r="C17" s="3">
        <v>84</v>
      </c>
      <c r="D17" s="1" t="s">
        <v>21</v>
      </c>
      <c r="E17" s="1" t="s">
        <v>15</v>
      </c>
      <c r="F17" s="3">
        <v>45436</v>
      </c>
      <c r="G17" s="3">
        <v>45447</v>
      </c>
      <c r="H17" s="3">
        <v>11</v>
      </c>
      <c r="I17" s="1" t="s">
        <v>19</v>
      </c>
      <c r="J17" s="1"/>
      <c r="K17" s="1"/>
      <c r="L17" s="1"/>
      <c r="M17" s="1"/>
    </row>
    <row r="18" spans="1:13">
      <c r="A18" s="1" t="s">
        <v>39</v>
      </c>
      <c r="B18" s="1" t="s">
        <v>10</v>
      </c>
      <c r="C18" s="3">
        <v>67</v>
      </c>
      <c r="D18" s="1" t="s">
        <v>21</v>
      </c>
      <c r="E18" s="1" t="s">
        <v>30</v>
      </c>
      <c r="F18" s="3">
        <v>45443</v>
      </c>
      <c r="G18" s="3">
        <v>45449</v>
      </c>
      <c r="H18" s="3">
        <v>6</v>
      </c>
      <c r="I18" s="1" t="s">
        <v>25</v>
      </c>
      <c r="J18" s="1"/>
      <c r="K18" s="1"/>
      <c r="L18" s="1"/>
      <c r="M18" s="1"/>
    </row>
    <row r="19" spans="1:13">
      <c r="A19" s="1" t="s">
        <v>40</v>
      </c>
      <c r="B19" s="1" t="s">
        <v>41</v>
      </c>
      <c r="C19" s="3">
        <v>38</v>
      </c>
      <c r="D19" s="1" t="s">
        <v>21</v>
      </c>
      <c r="E19" s="1" t="s">
        <v>22</v>
      </c>
      <c r="F19" s="3">
        <v>45420</v>
      </c>
      <c r="G19" s="3">
        <v>45425</v>
      </c>
      <c r="H19" s="3">
        <v>5</v>
      </c>
      <c r="I19" s="1" t="s">
        <v>35</v>
      </c>
      <c r="J19" s="1"/>
      <c r="K19" s="1"/>
      <c r="L19" s="1"/>
      <c r="M19" s="1"/>
    </row>
    <row r="20" spans="1:13">
      <c r="A20" s="1" t="s">
        <v>42</v>
      </c>
      <c r="B20" s="1" t="s">
        <v>41</v>
      </c>
      <c r="C20" s="3">
        <v>47</v>
      </c>
      <c r="D20" s="1" t="s">
        <v>11</v>
      </c>
      <c r="E20" s="1" t="s">
        <v>12</v>
      </c>
      <c r="F20" s="3">
        <v>45432</v>
      </c>
      <c r="G20" s="3">
        <v>45437</v>
      </c>
      <c r="H20" s="3">
        <v>5</v>
      </c>
      <c r="I20" s="1" t="s">
        <v>35</v>
      </c>
      <c r="J20" s="1"/>
      <c r="K20" s="1"/>
      <c r="L20" s="1"/>
      <c r="M20" s="1"/>
    </row>
    <row r="21" spans="1:13">
      <c r="A21" s="1" t="s">
        <v>43</v>
      </c>
      <c r="B21" s="1" t="s">
        <v>41</v>
      </c>
      <c r="C21" s="3">
        <v>12</v>
      </c>
      <c r="D21" s="1" t="s">
        <v>21</v>
      </c>
      <c r="E21" s="1" t="s">
        <v>15</v>
      </c>
      <c r="F21" s="3">
        <v>45426</v>
      </c>
      <c r="G21" s="3">
        <v>45438</v>
      </c>
      <c r="H21" s="3">
        <v>12</v>
      </c>
      <c r="I21" s="1" t="s">
        <v>35</v>
      </c>
      <c r="J21" s="1"/>
      <c r="K21" s="1"/>
      <c r="L21" s="1"/>
      <c r="M21" s="1"/>
    </row>
    <row r="22" spans="1:13">
      <c r="A22" s="1" t="s">
        <v>44</v>
      </c>
      <c r="B22" s="1" t="s">
        <v>45</v>
      </c>
      <c r="C22" s="3">
        <v>10</v>
      </c>
      <c r="D22" s="1" t="s">
        <v>11</v>
      </c>
      <c r="E22" s="1" t="s">
        <v>24</v>
      </c>
      <c r="F22" s="3">
        <v>45423</v>
      </c>
      <c r="G22" s="3">
        <v>45425</v>
      </c>
      <c r="H22" s="3">
        <v>2</v>
      </c>
      <c r="I22" s="1" t="s">
        <v>19</v>
      </c>
      <c r="J22" s="1"/>
      <c r="K22" s="1"/>
      <c r="L22" s="1"/>
      <c r="M22" s="1"/>
    </row>
    <row r="23" spans="1:13">
      <c r="A23" s="1" t="s">
        <v>46</v>
      </c>
      <c r="B23" s="1" t="s">
        <v>45</v>
      </c>
      <c r="C23" s="3">
        <v>12</v>
      </c>
      <c r="D23" s="1" t="s">
        <v>11</v>
      </c>
      <c r="E23" s="1" t="s">
        <v>30</v>
      </c>
      <c r="F23" s="3">
        <v>45385</v>
      </c>
      <c r="G23" s="3">
        <v>45386</v>
      </c>
      <c r="H23" s="3">
        <v>1</v>
      </c>
      <c r="I23" s="1" t="s">
        <v>25</v>
      </c>
      <c r="J23" s="1"/>
      <c r="K23" s="1"/>
      <c r="L23" s="1"/>
      <c r="M23" s="1"/>
    </row>
    <row r="24" spans="1:13">
      <c r="A24" s="1" t="s">
        <v>47</v>
      </c>
      <c r="B24" s="1" t="s">
        <v>45</v>
      </c>
      <c r="C24" s="3">
        <v>47</v>
      </c>
      <c r="D24" s="1" t="s">
        <v>11</v>
      </c>
      <c r="E24" s="1" t="s">
        <v>22</v>
      </c>
      <c r="F24" s="3">
        <v>45436</v>
      </c>
      <c r="G24" s="3">
        <v>45449</v>
      </c>
      <c r="H24" s="3">
        <v>13</v>
      </c>
      <c r="I24" s="1" t="s">
        <v>16</v>
      </c>
      <c r="J24" s="1"/>
      <c r="K24" s="1"/>
      <c r="L24" s="1"/>
      <c r="M24" s="1"/>
    </row>
    <row r="25" spans="1:13">
      <c r="A25" s="1" t="s">
        <v>48</v>
      </c>
      <c r="B25" s="1" t="s">
        <v>45</v>
      </c>
      <c r="C25" s="3">
        <v>80</v>
      </c>
      <c r="D25" s="1" t="s">
        <v>11</v>
      </c>
      <c r="E25" s="1" t="s">
        <v>30</v>
      </c>
      <c r="F25" s="3">
        <v>45443</v>
      </c>
      <c r="G25" s="3">
        <v>45445</v>
      </c>
      <c r="H25" s="3">
        <v>2</v>
      </c>
      <c r="I25" s="1" t="s">
        <v>19</v>
      </c>
      <c r="J25" s="1"/>
      <c r="K25" s="1"/>
      <c r="L25" s="1"/>
      <c r="M25" s="1"/>
    </row>
    <row r="26" spans="1:13">
      <c r="A26" s="1" t="s">
        <v>49</v>
      </c>
      <c r="B26" s="1" t="s">
        <v>45</v>
      </c>
      <c r="C26" s="3">
        <v>60</v>
      </c>
      <c r="D26" s="1" t="s">
        <v>11</v>
      </c>
      <c r="E26" s="1" t="s">
        <v>30</v>
      </c>
      <c r="F26" s="3">
        <v>45397</v>
      </c>
      <c r="G26" s="3">
        <v>45399</v>
      </c>
      <c r="H26" s="3">
        <v>2</v>
      </c>
      <c r="I26" s="1" t="s">
        <v>19</v>
      </c>
      <c r="J26" s="1"/>
      <c r="K26" s="1"/>
      <c r="L26" s="1"/>
      <c r="M26" s="1"/>
    </row>
    <row r="27" spans="1:13">
      <c r="A27" s="1" t="s">
        <v>50</v>
      </c>
      <c r="B27" s="1" t="s">
        <v>45</v>
      </c>
      <c r="C27" s="3">
        <v>30</v>
      </c>
      <c r="D27" s="1" t="s">
        <v>11</v>
      </c>
      <c r="E27" s="1" t="s">
        <v>12</v>
      </c>
      <c r="F27" s="3">
        <v>45438</v>
      </c>
      <c r="G27" s="3">
        <v>45450</v>
      </c>
      <c r="H27" s="3">
        <v>12</v>
      </c>
      <c r="I27" s="1" t="s">
        <v>35</v>
      </c>
      <c r="J27" s="1"/>
      <c r="K27" s="1"/>
      <c r="L27" s="1"/>
      <c r="M27" s="1"/>
    </row>
    <row r="28" spans="1:13">
      <c r="A28" s="1" t="s">
        <v>51</v>
      </c>
      <c r="B28" s="1" t="s">
        <v>45</v>
      </c>
      <c r="C28" s="3">
        <v>49</v>
      </c>
      <c r="D28" s="1" t="s">
        <v>11</v>
      </c>
      <c r="E28" s="1" t="s">
        <v>24</v>
      </c>
      <c r="F28" s="3">
        <v>45434</v>
      </c>
      <c r="G28" s="3">
        <v>45448</v>
      </c>
      <c r="H28" s="3">
        <v>14</v>
      </c>
      <c r="I28" s="1" t="s">
        <v>25</v>
      </c>
      <c r="J28" s="1"/>
      <c r="K28" s="1"/>
      <c r="L28" s="1"/>
      <c r="M28" s="1"/>
    </row>
    <row r="29" spans="1:13">
      <c r="A29" s="1" t="s">
        <v>52</v>
      </c>
      <c r="B29" s="1" t="s">
        <v>45</v>
      </c>
      <c r="C29" s="3">
        <v>48</v>
      </c>
      <c r="D29" s="1" t="s">
        <v>11</v>
      </c>
      <c r="E29" s="1" t="s">
        <v>12</v>
      </c>
      <c r="F29" s="3">
        <v>45436</v>
      </c>
      <c r="G29" s="3">
        <v>45437</v>
      </c>
      <c r="H29" s="3">
        <v>1</v>
      </c>
      <c r="I29" s="1" t="s">
        <v>16</v>
      </c>
      <c r="J29" s="1"/>
      <c r="K29" s="1"/>
      <c r="L29" s="1"/>
      <c r="M29" s="1"/>
    </row>
    <row r="30" spans="1:13">
      <c r="A30" s="1" t="s">
        <v>53</v>
      </c>
      <c r="B30" s="1" t="s">
        <v>45</v>
      </c>
      <c r="C30" s="3">
        <v>18</v>
      </c>
      <c r="D30" s="1" t="s">
        <v>21</v>
      </c>
      <c r="E30" s="1" t="s">
        <v>24</v>
      </c>
      <c r="F30" s="3">
        <v>45436</v>
      </c>
      <c r="G30" s="3">
        <v>45441</v>
      </c>
      <c r="H30" s="3">
        <v>5</v>
      </c>
      <c r="I30" s="1" t="s">
        <v>35</v>
      </c>
      <c r="J30" s="1"/>
      <c r="K30" s="1"/>
      <c r="L30" s="1"/>
      <c r="M30" s="1"/>
    </row>
    <row r="31" spans="1:13">
      <c r="A31" s="1" t="s">
        <v>54</v>
      </c>
      <c r="B31" s="1" t="s">
        <v>45</v>
      </c>
      <c r="C31" s="3">
        <v>63</v>
      </c>
      <c r="D31" s="1" t="s">
        <v>11</v>
      </c>
      <c r="E31" s="1" t="s">
        <v>15</v>
      </c>
      <c r="F31" s="3">
        <v>45440</v>
      </c>
      <c r="G31" s="3">
        <v>45453</v>
      </c>
      <c r="H31" s="3">
        <v>13</v>
      </c>
      <c r="I31" s="1" t="s">
        <v>19</v>
      </c>
      <c r="J31" s="1"/>
      <c r="K31" s="1"/>
      <c r="L31" s="1"/>
      <c r="M31" s="1"/>
    </row>
    <row r="32" spans="1:13">
      <c r="A32" s="1" t="s">
        <v>55</v>
      </c>
      <c r="B32" s="1" t="s">
        <v>45</v>
      </c>
      <c r="C32" s="3">
        <v>78</v>
      </c>
      <c r="D32" s="1" t="s">
        <v>11</v>
      </c>
      <c r="E32" s="1" t="s">
        <v>24</v>
      </c>
      <c r="F32" s="3">
        <v>45407</v>
      </c>
      <c r="G32" s="3">
        <v>45421</v>
      </c>
      <c r="H32" s="3">
        <v>14</v>
      </c>
      <c r="I32" s="1" t="s">
        <v>16</v>
      </c>
      <c r="J32" s="1"/>
      <c r="K32" s="1"/>
      <c r="L32" s="1"/>
      <c r="M32" s="1"/>
    </row>
    <row r="33" spans="1:13">
      <c r="A33" s="1" t="s">
        <v>56</v>
      </c>
      <c r="B33" s="1" t="s">
        <v>45</v>
      </c>
      <c r="C33" s="3">
        <v>73</v>
      </c>
      <c r="D33" s="1" t="s">
        <v>11</v>
      </c>
      <c r="E33" s="1" t="s">
        <v>30</v>
      </c>
      <c r="F33" s="3">
        <v>45395</v>
      </c>
      <c r="G33" s="3">
        <v>45400</v>
      </c>
      <c r="H33" s="3">
        <v>5</v>
      </c>
      <c r="I33" s="1" t="s">
        <v>25</v>
      </c>
      <c r="J33" s="1"/>
      <c r="K33" s="1"/>
      <c r="L33" s="1"/>
      <c r="M33" s="1"/>
    </row>
    <row r="34" spans="1:13">
      <c r="A34" s="1" t="s">
        <v>57</v>
      </c>
      <c r="B34" s="1" t="s">
        <v>45</v>
      </c>
      <c r="C34" s="3">
        <v>76</v>
      </c>
      <c r="D34" s="1" t="s">
        <v>21</v>
      </c>
      <c r="E34" s="1" t="s">
        <v>15</v>
      </c>
      <c r="F34" s="3">
        <v>45413</v>
      </c>
      <c r="G34" s="3">
        <v>45423</v>
      </c>
      <c r="H34" s="3">
        <v>10</v>
      </c>
      <c r="I34" s="1" t="s">
        <v>25</v>
      </c>
      <c r="J34" s="1"/>
      <c r="K34" s="1"/>
      <c r="L34" s="1"/>
      <c r="M34" s="1"/>
    </row>
    <row r="35" spans="1:13">
      <c r="A35" s="1" t="s">
        <v>58</v>
      </c>
      <c r="B35" s="1" t="s">
        <v>45</v>
      </c>
      <c r="C35" s="3">
        <v>76</v>
      </c>
      <c r="D35" s="1" t="s">
        <v>11</v>
      </c>
      <c r="E35" s="1" t="s">
        <v>12</v>
      </c>
      <c r="F35" s="3">
        <v>45398</v>
      </c>
      <c r="G35" s="3">
        <v>45412</v>
      </c>
      <c r="H35" s="3">
        <v>14</v>
      </c>
      <c r="I35" s="1" t="s">
        <v>25</v>
      </c>
      <c r="J35" s="1"/>
      <c r="K35" s="1"/>
      <c r="L35" s="1"/>
      <c r="M35" s="1"/>
    </row>
    <row r="36" spans="1:13">
      <c r="A36" s="1" t="s">
        <v>59</v>
      </c>
      <c r="B36" s="1" t="s">
        <v>45</v>
      </c>
      <c r="C36" s="3">
        <v>54</v>
      </c>
      <c r="D36" s="1" t="s">
        <v>11</v>
      </c>
      <c r="E36" s="1" t="s">
        <v>22</v>
      </c>
      <c r="F36" s="3">
        <v>45400</v>
      </c>
      <c r="G36" s="3">
        <v>45408</v>
      </c>
      <c r="H36" s="3">
        <v>8</v>
      </c>
      <c r="I36" s="1" t="s">
        <v>35</v>
      </c>
      <c r="J36" s="1"/>
      <c r="K36" s="1"/>
      <c r="L36" s="1"/>
      <c r="M36" s="1"/>
    </row>
    <row r="37" spans="1:13">
      <c r="A37" s="1" t="s">
        <v>60</v>
      </c>
      <c r="B37" s="1" t="s">
        <v>45</v>
      </c>
      <c r="C37" s="3">
        <v>35</v>
      </c>
      <c r="D37" s="1" t="s">
        <v>11</v>
      </c>
      <c r="E37" s="1" t="s">
        <v>24</v>
      </c>
      <c r="F37" s="3">
        <v>45403</v>
      </c>
      <c r="G37" s="3">
        <v>45412</v>
      </c>
      <c r="H37" s="3">
        <v>9</v>
      </c>
      <c r="I37" s="1" t="s">
        <v>16</v>
      </c>
      <c r="J37" s="1"/>
      <c r="K37" s="1"/>
      <c r="L37" s="1"/>
      <c r="M37" s="1"/>
    </row>
    <row r="38" spans="1:13">
      <c r="A38" s="1" t="s">
        <v>61</v>
      </c>
      <c r="B38" s="1" t="s">
        <v>45</v>
      </c>
      <c r="C38" s="3">
        <v>28</v>
      </c>
      <c r="D38" s="1" t="s">
        <v>21</v>
      </c>
      <c r="E38" s="1" t="s">
        <v>24</v>
      </c>
      <c r="F38" s="3">
        <v>45419</v>
      </c>
      <c r="G38" s="3">
        <v>45430</v>
      </c>
      <c r="H38" s="3">
        <v>11</v>
      </c>
      <c r="I38" s="1" t="s">
        <v>16</v>
      </c>
      <c r="J38" s="1"/>
      <c r="K38" s="1"/>
      <c r="L38" s="1"/>
      <c r="M38" s="1"/>
    </row>
    <row r="39" spans="1:13">
      <c r="A39" s="1" t="s">
        <v>62</v>
      </c>
      <c r="B39" s="1" t="s">
        <v>63</v>
      </c>
      <c r="C39" s="3">
        <v>14</v>
      </c>
      <c r="D39" s="1" t="s">
        <v>21</v>
      </c>
      <c r="E39" s="1" t="s">
        <v>24</v>
      </c>
      <c r="F39" s="3">
        <v>45384</v>
      </c>
      <c r="G39" s="3">
        <v>45393</v>
      </c>
      <c r="H39" s="3">
        <v>9</v>
      </c>
      <c r="I39" s="1" t="s">
        <v>16</v>
      </c>
      <c r="J39" s="1"/>
      <c r="K39" s="1"/>
      <c r="L39" s="1"/>
      <c r="M39" s="1"/>
    </row>
    <row r="40" spans="1:13">
      <c r="A40" s="1" t="s">
        <v>64</v>
      </c>
      <c r="B40" s="1" t="s">
        <v>63</v>
      </c>
      <c r="C40" s="3">
        <v>90</v>
      </c>
      <c r="D40" s="1" t="s">
        <v>21</v>
      </c>
      <c r="E40" s="1" t="s">
        <v>24</v>
      </c>
      <c r="F40" s="3">
        <v>45400</v>
      </c>
      <c r="G40" s="3">
        <v>45402</v>
      </c>
      <c r="H40" s="3">
        <v>2</v>
      </c>
      <c r="I40" s="1" t="s">
        <v>16</v>
      </c>
      <c r="J40" s="1"/>
      <c r="K40" s="1"/>
      <c r="L40" s="1"/>
      <c r="M40" s="1"/>
    </row>
    <row r="41" spans="1:13">
      <c r="A41" s="1" t="s">
        <v>65</v>
      </c>
      <c r="B41" s="1" t="s">
        <v>63</v>
      </c>
      <c r="C41" s="3">
        <v>83</v>
      </c>
      <c r="D41" s="1" t="s">
        <v>21</v>
      </c>
      <c r="E41" s="1" t="s">
        <v>18</v>
      </c>
      <c r="F41" s="3">
        <v>45406</v>
      </c>
      <c r="G41" s="3">
        <v>45410</v>
      </c>
      <c r="H41" s="3">
        <v>4</v>
      </c>
      <c r="I41" s="1" t="s">
        <v>13</v>
      </c>
      <c r="J41" s="1"/>
      <c r="K41" s="1"/>
      <c r="L41" s="1"/>
      <c r="M41" s="1"/>
    </row>
    <row r="42" spans="1:13">
      <c r="A42" s="1" t="s">
        <v>66</v>
      </c>
      <c r="B42" s="1" t="s">
        <v>63</v>
      </c>
      <c r="C42" s="3">
        <v>38</v>
      </c>
      <c r="D42" s="1" t="s">
        <v>21</v>
      </c>
      <c r="E42" s="1" t="s">
        <v>30</v>
      </c>
      <c r="F42" s="3">
        <v>45438</v>
      </c>
      <c r="G42" s="3">
        <v>45438</v>
      </c>
      <c r="H42" s="3">
        <v>0</v>
      </c>
      <c r="I42" s="1" t="s">
        <v>13</v>
      </c>
      <c r="J42" s="1"/>
      <c r="K42" s="1"/>
      <c r="L42" s="1"/>
      <c r="M42" s="1"/>
    </row>
    <row r="43" spans="1:13">
      <c r="A43" s="1" t="s">
        <v>67</v>
      </c>
      <c r="B43" s="1" t="s">
        <v>63</v>
      </c>
      <c r="C43" s="3">
        <v>14</v>
      </c>
      <c r="D43" s="1" t="s">
        <v>11</v>
      </c>
      <c r="E43" s="1" t="s">
        <v>15</v>
      </c>
      <c r="F43" s="3">
        <v>45415</v>
      </c>
      <c r="G43" s="3">
        <v>45428</v>
      </c>
      <c r="H43" s="3">
        <v>13</v>
      </c>
      <c r="I43" s="1" t="s">
        <v>35</v>
      </c>
      <c r="J43" s="1"/>
      <c r="K43" s="1"/>
      <c r="L43" s="1"/>
      <c r="M43" s="1"/>
    </row>
    <row r="44" spans="1:13">
      <c r="A44" s="1" t="s">
        <v>68</v>
      </c>
      <c r="B44" s="1" t="s">
        <v>63</v>
      </c>
      <c r="C44" s="3">
        <v>26</v>
      </c>
      <c r="D44" s="1" t="s">
        <v>21</v>
      </c>
      <c r="E44" s="1" t="s">
        <v>18</v>
      </c>
      <c r="F44" s="3">
        <v>45390</v>
      </c>
      <c r="G44" s="3">
        <v>45394</v>
      </c>
      <c r="H44" s="3">
        <v>4</v>
      </c>
      <c r="I44" s="1" t="s">
        <v>25</v>
      </c>
      <c r="J44" s="1"/>
      <c r="K44" s="1"/>
      <c r="L44" s="1"/>
      <c r="M44" s="1"/>
    </row>
    <row r="45" spans="1:13">
      <c r="A45" s="1" t="s">
        <v>69</v>
      </c>
      <c r="B45" s="1" t="s">
        <v>63</v>
      </c>
      <c r="C45" s="3">
        <v>78</v>
      </c>
      <c r="D45" s="1" t="s">
        <v>21</v>
      </c>
      <c r="E45" s="1" t="s">
        <v>24</v>
      </c>
      <c r="F45" s="3">
        <v>45419</v>
      </c>
      <c r="G45" s="3">
        <v>45427</v>
      </c>
      <c r="H45" s="3">
        <v>8</v>
      </c>
      <c r="I45" s="1" t="s">
        <v>13</v>
      </c>
      <c r="J45" s="1"/>
      <c r="K45" s="1"/>
      <c r="L45" s="1"/>
      <c r="M45" s="1"/>
    </row>
    <row r="46" spans="1:13">
      <c r="A46" s="1" t="s">
        <v>70</v>
      </c>
      <c r="B46" s="1" t="s">
        <v>63</v>
      </c>
      <c r="C46" s="3">
        <v>26</v>
      </c>
      <c r="D46" s="1" t="s">
        <v>11</v>
      </c>
      <c r="E46" s="1" t="s">
        <v>15</v>
      </c>
      <c r="F46" s="3">
        <v>45388</v>
      </c>
      <c r="G46" s="3">
        <v>45402</v>
      </c>
      <c r="H46" s="3">
        <v>14</v>
      </c>
      <c r="I46" s="1" t="s">
        <v>19</v>
      </c>
      <c r="J46" s="1"/>
      <c r="K46" s="1"/>
      <c r="L46" s="1"/>
      <c r="M46" s="1"/>
    </row>
    <row r="47" spans="1:13">
      <c r="A47" s="1" t="s">
        <v>71</v>
      </c>
      <c r="B47" s="1" t="s">
        <v>63</v>
      </c>
      <c r="C47" s="3">
        <v>62</v>
      </c>
      <c r="D47" s="1" t="s">
        <v>11</v>
      </c>
      <c r="E47" s="1" t="s">
        <v>24</v>
      </c>
      <c r="F47" s="3">
        <v>45415</v>
      </c>
      <c r="G47" s="3">
        <v>45420</v>
      </c>
      <c r="H47" s="4"/>
      <c r="I47" s="1" t="s">
        <v>35</v>
      </c>
      <c r="J47" s="1"/>
      <c r="K47" s="1"/>
      <c r="L47" s="1"/>
      <c r="M47" s="1"/>
    </row>
    <row r="48" spans="1:13">
      <c r="A48" s="1" t="s">
        <v>72</v>
      </c>
      <c r="B48" s="1" t="s">
        <v>63</v>
      </c>
      <c r="C48" s="3">
        <v>40</v>
      </c>
      <c r="D48" s="1" t="s">
        <v>21</v>
      </c>
      <c r="E48" s="1" t="s">
        <v>18</v>
      </c>
      <c r="F48" s="3">
        <v>45442</v>
      </c>
      <c r="G48" s="3">
        <v>45446</v>
      </c>
      <c r="H48" s="3">
        <v>4</v>
      </c>
      <c r="I48" s="1" t="s">
        <v>19</v>
      </c>
      <c r="J48" s="1"/>
      <c r="K48" s="1"/>
      <c r="L48" s="1"/>
      <c r="M48" s="1"/>
    </row>
    <row r="49" spans="1:13">
      <c r="A49" s="1" t="s">
        <v>73</v>
      </c>
      <c r="B49" s="1" t="s">
        <v>63</v>
      </c>
      <c r="C49" s="3">
        <v>46</v>
      </c>
      <c r="D49" s="1" t="s">
        <v>11</v>
      </c>
      <c r="E49" s="1" t="s">
        <v>15</v>
      </c>
      <c r="F49" s="3">
        <v>45405</v>
      </c>
      <c r="G49" s="3">
        <v>45410</v>
      </c>
      <c r="H49" s="3">
        <v>5</v>
      </c>
      <c r="I49" s="1" t="s">
        <v>19</v>
      </c>
      <c r="J49" s="1"/>
      <c r="K49" s="1"/>
      <c r="L49" s="1"/>
      <c r="M49" s="1"/>
    </row>
    <row r="50" spans="1:13">
      <c r="A50" s="1" t="s">
        <v>74</v>
      </c>
      <c r="B50" s="1" t="s">
        <v>63</v>
      </c>
      <c r="C50" s="3">
        <v>71</v>
      </c>
      <c r="D50" s="1" t="s">
        <v>21</v>
      </c>
      <c r="E50" s="1" t="s">
        <v>15</v>
      </c>
      <c r="F50" s="3">
        <v>45418</v>
      </c>
      <c r="G50" s="3">
        <v>45421</v>
      </c>
      <c r="H50" s="4"/>
      <c r="I50" s="1" t="s">
        <v>19</v>
      </c>
      <c r="J50" s="1"/>
      <c r="K50" s="1"/>
      <c r="L50" s="1"/>
      <c r="M50" s="1"/>
    </row>
    <row r="51" spans="1:13">
      <c r="A51" s="1" t="s">
        <v>75</v>
      </c>
      <c r="B51" s="1" t="s">
        <v>63</v>
      </c>
      <c r="C51" s="3">
        <v>36</v>
      </c>
      <c r="D51" s="1" t="s">
        <v>11</v>
      </c>
      <c r="E51" s="1" t="s">
        <v>18</v>
      </c>
      <c r="F51" s="3">
        <v>45397</v>
      </c>
      <c r="G51" s="3">
        <v>45410</v>
      </c>
      <c r="H51" s="3">
        <v>13</v>
      </c>
      <c r="I51" s="1" t="s">
        <v>19</v>
      </c>
      <c r="J51" s="1"/>
      <c r="K51" s="1"/>
      <c r="L51" s="1"/>
      <c r="M51" s="1"/>
    </row>
    <row r="52" spans="1:13">
      <c r="A52" s="1" t="s">
        <v>76</v>
      </c>
      <c r="B52" s="1" t="s">
        <v>63</v>
      </c>
      <c r="C52" s="3">
        <v>80</v>
      </c>
      <c r="D52" s="1" t="s">
        <v>11</v>
      </c>
      <c r="E52" s="1" t="s">
        <v>22</v>
      </c>
      <c r="F52" s="3">
        <v>45434</v>
      </c>
      <c r="G52" s="3">
        <v>45444</v>
      </c>
      <c r="H52" s="3">
        <v>10</v>
      </c>
      <c r="I52" s="1" t="s">
        <v>16</v>
      </c>
      <c r="J52" s="1"/>
      <c r="K52" s="1"/>
      <c r="L52" s="1"/>
      <c r="M52" s="1"/>
    </row>
    <row r="53" spans="1:13">
      <c r="A53" s="1" t="s">
        <v>77</v>
      </c>
      <c r="B53" s="1" t="s">
        <v>63</v>
      </c>
      <c r="C53" s="3">
        <v>86</v>
      </c>
      <c r="D53" s="1" t="s">
        <v>11</v>
      </c>
      <c r="E53" s="1" t="s">
        <v>12</v>
      </c>
      <c r="F53" s="3">
        <v>45436</v>
      </c>
      <c r="G53" s="3">
        <v>45444</v>
      </c>
      <c r="H53" s="3">
        <v>8</v>
      </c>
      <c r="I53" s="1" t="s">
        <v>25</v>
      </c>
      <c r="J53" s="1"/>
      <c r="K53" s="1"/>
      <c r="L53" s="1"/>
      <c r="M53" s="1"/>
    </row>
    <row r="54" spans="1:13">
      <c r="A54" s="1" t="s">
        <v>78</v>
      </c>
      <c r="B54" s="1" t="s">
        <v>79</v>
      </c>
      <c r="C54" s="3">
        <v>51</v>
      </c>
      <c r="D54" s="1" t="s">
        <v>21</v>
      </c>
      <c r="E54" s="1" t="s">
        <v>30</v>
      </c>
      <c r="F54" s="3">
        <v>45430</v>
      </c>
      <c r="G54" s="3">
        <v>45439</v>
      </c>
      <c r="H54" s="3">
        <v>9</v>
      </c>
      <c r="I54" s="1" t="s">
        <v>16</v>
      </c>
      <c r="J54" s="1"/>
      <c r="K54" s="1"/>
      <c r="L54" s="1"/>
      <c r="M54" s="1"/>
    </row>
    <row r="55" spans="1:13">
      <c r="A55" s="1" t="s">
        <v>78</v>
      </c>
      <c r="B55" s="1" t="s">
        <v>79</v>
      </c>
      <c r="C55" s="3">
        <v>51</v>
      </c>
      <c r="D55" s="1" t="s">
        <v>21</v>
      </c>
      <c r="E55" s="1" t="s">
        <v>30</v>
      </c>
      <c r="F55" s="3">
        <v>45430</v>
      </c>
      <c r="G55" s="3">
        <v>45439</v>
      </c>
      <c r="H55" s="3">
        <v>9</v>
      </c>
      <c r="I55" s="1" t="s">
        <v>16</v>
      </c>
      <c r="J55" s="1"/>
      <c r="K55" s="1"/>
      <c r="L55" s="1"/>
      <c r="M55" s="1"/>
    </row>
    <row r="56" spans="1:13">
      <c r="A56" s="1" t="s">
        <v>80</v>
      </c>
      <c r="B56" s="1" t="s">
        <v>79</v>
      </c>
      <c r="C56" s="3">
        <v>10</v>
      </c>
      <c r="D56" s="1" t="s">
        <v>21</v>
      </c>
      <c r="E56" s="1" t="s">
        <v>30</v>
      </c>
      <c r="F56" s="3">
        <v>45407</v>
      </c>
      <c r="G56" s="3">
        <v>45414</v>
      </c>
      <c r="H56" s="3">
        <v>7</v>
      </c>
      <c r="I56" s="1" t="s">
        <v>13</v>
      </c>
      <c r="J56" s="1"/>
      <c r="K56" s="1"/>
      <c r="L56" s="1"/>
      <c r="M56" s="1"/>
    </row>
    <row r="57" spans="1:13">
      <c r="A57" s="1" t="s">
        <v>81</v>
      </c>
      <c r="B57" s="1" t="s">
        <v>79</v>
      </c>
      <c r="C57" s="3">
        <v>43</v>
      </c>
      <c r="D57" s="1" t="s">
        <v>11</v>
      </c>
      <c r="E57" s="1" t="s">
        <v>22</v>
      </c>
      <c r="F57" s="3">
        <v>45436</v>
      </c>
      <c r="G57" s="3">
        <v>45447</v>
      </c>
      <c r="H57" s="3">
        <v>11</v>
      </c>
      <c r="I57" s="1" t="s">
        <v>19</v>
      </c>
      <c r="J57" s="1"/>
      <c r="K57" s="1"/>
      <c r="L57" s="1"/>
      <c r="M57" s="1"/>
    </row>
    <row r="58" spans="1:13">
      <c r="A58" s="1" t="s">
        <v>82</v>
      </c>
      <c r="B58" s="1" t="s">
        <v>79</v>
      </c>
      <c r="C58" s="3">
        <v>18</v>
      </c>
      <c r="D58" s="1" t="s">
        <v>21</v>
      </c>
      <c r="E58" s="1" t="s">
        <v>12</v>
      </c>
      <c r="F58" s="3">
        <v>45417</v>
      </c>
      <c r="G58" s="3">
        <v>45430</v>
      </c>
      <c r="H58" s="3">
        <v>13</v>
      </c>
      <c r="I58" s="1" t="s">
        <v>13</v>
      </c>
      <c r="J58" s="1"/>
      <c r="K58" s="1"/>
      <c r="L58" s="1"/>
      <c r="M58" s="1"/>
    </row>
    <row r="59" spans="1:13">
      <c r="A59" s="1" t="s">
        <v>82</v>
      </c>
      <c r="B59" s="1" t="s">
        <v>79</v>
      </c>
      <c r="C59" s="3">
        <v>18</v>
      </c>
      <c r="D59" s="1" t="s">
        <v>21</v>
      </c>
      <c r="E59" s="1" t="s">
        <v>12</v>
      </c>
      <c r="F59" s="3">
        <v>45417</v>
      </c>
      <c r="G59" s="3">
        <v>45430</v>
      </c>
      <c r="H59" s="3">
        <v>13</v>
      </c>
      <c r="I59" s="1" t="s">
        <v>13</v>
      </c>
      <c r="J59" s="1"/>
      <c r="K59" s="1"/>
      <c r="L59" s="1"/>
      <c r="M59" s="1"/>
    </row>
    <row r="60" spans="1:13">
      <c r="A60" s="1" t="s">
        <v>83</v>
      </c>
      <c r="B60" s="1" t="s">
        <v>79</v>
      </c>
      <c r="C60" s="3">
        <v>46</v>
      </c>
      <c r="D60" s="1" t="s">
        <v>11</v>
      </c>
      <c r="E60" s="1" t="s">
        <v>18</v>
      </c>
      <c r="F60" s="3">
        <v>45418</v>
      </c>
      <c r="G60" s="3">
        <v>45422</v>
      </c>
      <c r="H60" s="3">
        <v>4</v>
      </c>
      <c r="I60" s="1" t="s">
        <v>13</v>
      </c>
      <c r="J60" s="1"/>
      <c r="K60" s="1"/>
      <c r="L60" s="1"/>
      <c r="M60" s="1"/>
    </row>
    <row r="61" spans="1:13">
      <c r="A61" s="1" t="s">
        <v>84</v>
      </c>
      <c r="B61" s="1" t="s">
        <v>79</v>
      </c>
      <c r="C61" s="3">
        <v>79</v>
      </c>
      <c r="D61" s="1" t="s">
        <v>11</v>
      </c>
      <c r="E61" s="1" t="s">
        <v>18</v>
      </c>
      <c r="F61" s="3">
        <v>45386</v>
      </c>
      <c r="G61" s="3">
        <v>45387</v>
      </c>
      <c r="H61" s="3">
        <v>1</v>
      </c>
      <c r="I61" s="1" t="s">
        <v>25</v>
      </c>
      <c r="J61" s="1"/>
      <c r="K61" s="1"/>
      <c r="L61" s="1"/>
      <c r="M61" s="1"/>
    </row>
    <row r="62" spans="1:13">
      <c r="A62" s="1" t="s">
        <v>85</v>
      </c>
      <c r="B62" s="1" t="s">
        <v>79</v>
      </c>
      <c r="C62" s="3">
        <v>49</v>
      </c>
      <c r="D62" s="1" t="s">
        <v>11</v>
      </c>
      <c r="E62" s="1" t="s">
        <v>30</v>
      </c>
      <c r="F62" s="3">
        <v>45408</v>
      </c>
      <c r="G62" s="3">
        <v>45410</v>
      </c>
      <c r="H62" s="3">
        <v>2</v>
      </c>
      <c r="I62" s="1" t="s">
        <v>13</v>
      </c>
      <c r="J62" s="1"/>
      <c r="K62" s="1"/>
      <c r="L62" s="1"/>
      <c r="M62" s="1"/>
    </row>
    <row r="63" spans="1:13">
      <c r="A63" s="1" t="s">
        <v>86</v>
      </c>
      <c r="B63" s="1" t="s">
        <v>79</v>
      </c>
      <c r="C63" s="3">
        <v>90</v>
      </c>
      <c r="D63" s="1" t="s">
        <v>21</v>
      </c>
      <c r="E63" s="1" t="s">
        <v>22</v>
      </c>
      <c r="F63" s="3">
        <v>45409</v>
      </c>
      <c r="G63" s="3">
        <v>45420</v>
      </c>
      <c r="H63" s="3">
        <v>11</v>
      </c>
      <c r="I63" s="1" t="s">
        <v>19</v>
      </c>
      <c r="J63" s="1"/>
      <c r="K63" s="1"/>
      <c r="L63" s="1"/>
      <c r="M63" s="1"/>
    </row>
    <row r="64" spans="1:13">
      <c r="A64" s="1" t="s">
        <v>87</v>
      </c>
      <c r="B64" s="1" t="s">
        <v>79</v>
      </c>
      <c r="C64" s="3">
        <v>30</v>
      </c>
      <c r="D64" s="1" t="s">
        <v>11</v>
      </c>
      <c r="E64" s="1" t="s">
        <v>30</v>
      </c>
      <c r="F64" s="3">
        <v>45412</v>
      </c>
      <c r="G64" s="3">
        <v>45422</v>
      </c>
      <c r="H64" s="3">
        <v>10</v>
      </c>
      <c r="I64" s="1" t="s">
        <v>19</v>
      </c>
      <c r="J64" s="1"/>
      <c r="K64" s="1"/>
      <c r="L64" s="1"/>
      <c r="M64" s="1"/>
    </row>
    <row r="65" spans="1:13">
      <c r="A65" s="1" t="s">
        <v>88</v>
      </c>
      <c r="B65" s="1" t="s">
        <v>79</v>
      </c>
      <c r="C65" s="3">
        <v>56</v>
      </c>
      <c r="D65" s="1" t="s">
        <v>11</v>
      </c>
      <c r="E65" s="1" t="s">
        <v>24</v>
      </c>
      <c r="F65" s="3">
        <v>45383</v>
      </c>
      <c r="G65" s="3">
        <v>45394</v>
      </c>
      <c r="H65" s="3">
        <v>11</v>
      </c>
      <c r="I65" s="1" t="s">
        <v>35</v>
      </c>
      <c r="J65" s="1"/>
      <c r="K65" s="1"/>
      <c r="L65" s="1"/>
      <c r="M65" s="1"/>
    </row>
    <row r="66" spans="1:13">
      <c r="A66" s="1" t="s">
        <v>89</v>
      </c>
      <c r="B66" s="1" t="s">
        <v>79</v>
      </c>
      <c r="C66" s="3">
        <v>60</v>
      </c>
      <c r="D66" s="1" t="s">
        <v>11</v>
      </c>
      <c r="E66" s="1" t="s">
        <v>18</v>
      </c>
      <c r="F66" s="3">
        <v>45408</v>
      </c>
      <c r="G66" s="3">
        <v>45419</v>
      </c>
      <c r="H66" s="3">
        <v>11</v>
      </c>
      <c r="I66" s="1" t="s">
        <v>35</v>
      </c>
      <c r="J66" s="1"/>
      <c r="K66" s="1"/>
      <c r="L66" s="1"/>
      <c r="M66" s="1"/>
    </row>
    <row r="67" spans="1:13">
      <c r="A67" s="1" t="s">
        <v>90</v>
      </c>
      <c r="B67" s="1" t="s">
        <v>79</v>
      </c>
      <c r="C67" s="3">
        <v>59</v>
      </c>
      <c r="D67" s="1" t="s">
        <v>21</v>
      </c>
      <c r="E67" s="1" t="s">
        <v>12</v>
      </c>
      <c r="F67" s="3">
        <v>45396</v>
      </c>
      <c r="G67" s="3">
        <v>45403</v>
      </c>
      <c r="H67" s="3">
        <v>7</v>
      </c>
      <c r="I67" s="1" t="s">
        <v>16</v>
      </c>
      <c r="J67" s="1"/>
      <c r="K67" s="1"/>
      <c r="L67" s="1"/>
      <c r="M67" s="1"/>
    </row>
    <row r="68" spans="1:13">
      <c r="A68" s="1" t="s">
        <v>91</v>
      </c>
      <c r="B68" s="1" t="s">
        <v>79</v>
      </c>
      <c r="C68" s="3">
        <v>78</v>
      </c>
      <c r="D68" s="1" t="s">
        <v>11</v>
      </c>
      <c r="E68" s="1" t="s">
        <v>15</v>
      </c>
      <c r="F68" s="3">
        <v>45426</v>
      </c>
      <c r="G68" s="3">
        <v>45430</v>
      </c>
      <c r="H68" s="3">
        <v>4</v>
      </c>
      <c r="I68" s="1" t="s">
        <v>13</v>
      </c>
      <c r="J68" s="1"/>
      <c r="K68" s="1"/>
      <c r="L68" s="1"/>
      <c r="M68" s="1"/>
    </row>
    <row r="69" spans="1:13">
      <c r="A69" s="1" t="s">
        <v>92</v>
      </c>
      <c r="B69" s="1" t="s">
        <v>79</v>
      </c>
      <c r="C69" s="3">
        <v>20</v>
      </c>
      <c r="D69" s="1" t="s">
        <v>21</v>
      </c>
      <c r="E69" s="1" t="s">
        <v>12</v>
      </c>
      <c r="F69" s="3">
        <v>45407</v>
      </c>
      <c r="G69" s="3">
        <v>45420</v>
      </c>
      <c r="H69" s="3">
        <v>13</v>
      </c>
      <c r="I69" s="1" t="s">
        <v>13</v>
      </c>
      <c r="J69" s="1"/>
      <c r="K69" s="1"/>
      <c r="L69" s="1"/>
      <c r="M69" s="1"/>
    </row>
    <row r="70" spans="1:13">
      <c r="A70" s="1" t="s">
        <v>93</v>
      </c>
      <c r="B70" s="1" t="s">
        <v>94</v>
      </c>
      <c r="C70" s="3">
        <v>12</v>
      </c>
      <c r="D70" s="1" t="s">
        <v>11</v>
      </c>
      <c r="E70" s="1" t="s">
        <v>30</v>
      </c>
      <c r="F70" s="3">
        <v>45430</v>
      </c>
      <c r="G70" s="3">
        <v>45432</v>
      </c>
      <c r="H70" s="3">
        <v>2</v>
      </c>
      <c r="I70" s="1" t="s">
        <v>16</v>
      </c>
      <c r="J70" s="1"/>
      <c r="K70" s="1"/>
      <c r="L70" s="1"/>
      <c r="M70" s="1"/>
    </row>
    <row r="71" spans="1:13">
      <c r="A71" s="1" t="s">
        <v>95</v>
      </c>
      <c r="B71" s="1" t="s">
        <v>94</v>
      </c>
      <c r="C71" s="3">
        <v>27</v>
      </c>
      <c r="D71" s="1" t="s">
        <v>11</v>
      </c>
      <c r="E71" s="1" t="s">
        <v>30</v>
      </c>
      <c r="F71" s="3">
        <v>45425</v>
      </c>
      <c r="G71" s="3">
        <v>45425</v>
      </c>
      <c r="H71" s="3">
        <v>0</v>
      </c>
      <c r="I71" s="1" t="s">
        <v>19</v>
      </c>
      <c r="J71" s="1"/>
      <c r="K71" s="1"/>
      <c r="L71" s="1"/>
      <c r="M71" s="1"/>
    </row>
    <row r="72" spans="1:13">
      <c r="A72" s="1" t="s">
        <v>96</v>
      </c>
      <c r="B72" s="1" t="s">
        <v>94</v>
      </c>
      <c r="C72" s="3">
        <v>65</v>
      </c>
      <c r="D72" s="1" t="s">
        <v>21</v>
      </c>
      <c r="E72" s="1" t="s">
        <v>30</v>
      </c>
      <c r="F72" s="3">
        <v>45408</v>
      </c>
      <c r="G72" s="3">
        <v>45419</v>
      </c>
      <c r="H72" s="3">
        <v>11</v>
      </c>
      <c r="I72" s="1" t="s">
        <v>16</v>
      </c>
      <c r="J72" s="1"/>
      <c r="K72" s="1"/>
      <c r="L72" s="1"/>
      <c r="M72" s="1"/>
    </row>
    <row r="73" spans="1:13">
      <c r="A73" s="1" t="s">
        <v>97</v>
      </c>
      <c r="B73" s="1" t="s">
        <v>94</v>
      </c>
      <c r="C73" s="3">
        <v>87</v>
      </c>
      <c r="D73" s="1" t="s">
        <v>11</v>
      </c>
      <c r="E73" s="1" t="s">
        <v>15</v>
      </c>
      <c r="F73" s="3">
        <v>45386</v>
      </c>
      <c r="G73" s="3">
        <v>45396</v>
      </c>
      <c r="H73" s="3">
        <v>10</v>
      </c>
      <c r="I73" s="1" t="s">
        <v>35</v>
      </c>
      <c r="J73" s="1"/>
      <c r="K73" s="1"/>
      <c r="L73" s="1"/>
      <c r="M73" s="1"/>
    </row>
    <row r="74" spans="1:13">
      <c r="A74" s="1" t="s">
        <v>98</v>
      </c>
      <c r="B74" s="1" t="s">
        <v>94</v>
      </c>
      <c r="C74" s="3">
        <v>88</v>
      </c>
      <c r="D74" s="1" t="s">
        <v>11</v>
      </c>
      <c r="E74" s="1" t="s">
        <v>22</v>
      </c>
      <c r="F74" s="3">
        <v>45390</v>
      </c>
      <c r="G74" s="3">
        <v>45392</v>
      </c>
      <c r="H74" s="3">
        <v>2</v>
      </c>
      <c r="I74" s="1" t="s">
        <v>35</v>
      </c>
      <c r="J74" s="1"/>
      <c r="K74" s="1"/>
      <c r="L74" s="1"/>
      <c r="M74" s="1"/>
    </row>
    <row r="75" spans="1:13">
      <c r="A75" s="1" t="s">
        <v>99</v>
      </c>
      <c r="B75" s="1" t="s">
        <v>94</v>
      </c>
      <c r="C75" s="3">
        <v>61</v>
      </c>
      <c r="D75" s="1" t="s">
        <v>11</v>
      </c>
      <c r="E75" s="1" t="s">
        <v>15</v>
      </c>
      <c r="F75" s="3">
        <v>45421</v>
      </c>
      <c r="G75" s="3">
        <v>45425</v>
      </c>
      <c r="H75" s="3">
        <v>4</v>
      </c>
      <c r="I75" s="1" t="s">
        <v>35</v>
      </c>
      <c r="J75" s="1"/>
      <c r="K75" s="1"/>
      <c r="L75" s="1"/>
      <c r="M75" s="1"/>
    </row>
    <row r="76" spans="1:13">
      <c r="A76" s="1" t="s">
        <v>100</v>
      </c>
      <c r="B76" s="1" t="s">
        <v>94</v>
      </c>
      <c r="C76" s="3">
        <v>37</v>
      </c>
      <c r="D76" s="1" t="s">
        <v>11</v>
      </c>
      <c r="E76" s="1" t="s">
        <v>22</v>
      </c>
      <c r="F76" s="3">
        <v>45390</v>
      </c>
      <c r="G76" s="3">
        <v>45392</v>
      </c>
      <c r="H76" s="3">
        <v>2</v>
      </c>
      <c r="I76" s="1" t="s">
        <v>25</v>
      </c>
      <c r="J76" s="1"/>
      <c r="K76" s="1"/>
      <c r="L76" s="1"/>
      <c r="M76" s="1"/>
    </row>
    <row r="77" spans="1:13">
      <c r="A77" s="1" t="s">
        <v>101</v>
      </c>
      <c r="B77" s="1" t="s">
        <v>94</v>
      </c>
      <c r="C77" s="3">
        <v>43</v>
      </c>
      <c r="D77" s="1" t="s">
        <v>21</v>
      </c>
      <c r="E77" s="1" t="s">
        <v>12</v>
      </c>
      <c r="F77" s="3">
        <v>45426</v>
      </c>
      <c r="G77" s="3">
        <v>45438</v>
      </c>
      <c r="H77" s="3">
        <v>12</v>
      </c>
      <c r="I77" s="1" t="s">
        <v>13</v>
      </c>
      <c r="J77" s="1"/>
      <c r="K77" s="1"/>
      <c r="L77" s="1"/>
      <c r="M77" s="1"/>
    </row>
    <row r="78" spans="1:13">
      <c r="A78" s="1" t="s">
        <v>102</v>
      </c>
      <c r="B78" s="1" t="s">
        <v>94</v>
      </c>
      <c r="C78" s="3">
        <v>70</v>
      </c>
      <c r="D78" s="1" t="s">
        <v>21</v>
      </c>
      <c r="E78" s="1" t="s">
        <v>12</v>
      </c>
      <c r="F78" s="3">
        <v>45415</v>
      </c>
      <c r="G78" s="3">
        <v>45420</v>
      </c>
      <c r="H78" s="3">
        <v>5</v>
      </c>
      <c r="I78" s="1" t="s">
        <v>35</v>
      </c>
      <c r="J78" s="1"/>
      <c r="K78" s="1"/>
      <c r="L78" s="1"/>
      <c r="M78" s="1"/>
    </row>
    <row r="79" spans="1:13">
      <c r="A79" s="1" t="s">
        <v>103</v>
      </c>
      <c r="B79" s="1" t="s">
        <v>94</v>
      </c>
      <c r="C79" s="3">
        <v>60</v>
      </c>
      <c r="D79" s="1" t="s">
        <v>11</v>
      </c>
      <c r="E79" s="1" t="s">
        <v>24</v>
      </c>
      <c r="F79" s="3">
        <v>45401</v>
      </c>
      <c r="G79" s="3">
        <v>45410</v>
      </c>
      <c r="H79" s="3">
        <v>9</v>
      </c>
      <c r="I79" s="1" t="s">
        <v>35</v>
      </c>
      <c r="J79" s="1"/>
      <c r="K79" s="1"/>
      <c r="L79" s="1"/>
      <c r="M79" s="1"/>
    </row>
    <row r="80" spans="1:13">
      <c r="A80" s="1" t="s">
        <v>104</v>
      </c>
      <c r="B80" s="1" t="s">
        <v>94</v>
      </c>
      <c r="C80" s="3">
        <v>67</v>
      </c>
      <c r="D80" s="1" t="s">
        <v>21</v>
      </c>
      <c r="E80" s="1" t="s">
        <v>12</v>
      </c>
      <c r="F80" s="3">
        <v>45395</v>
      </c>
      <c r="G80" s="3">
        <v>45407</v>
      </c>
      <c r="H80" s="3">
        <v>12</v>
      </c>
      <c r="I80" s="1" t="s">
        <v>19</v>
      </c>
      <c r="J80" s="1"/>
      <c r="K80" s="1"/>
      <c r="L80" s="1"/>
      <c r="M80" s="1"/>
    </row>
    <row r="81" spans="1:13">
      <c r="A81" s="1" t="s">
        <v>105</v>
      </c>
      <c r="B81" s="1" t="s">
        <v>94</v>
      </c>
      <c r="C81" s="3">
        <v>18</v>
      </c>
      <c r="D81" s="1" t="s">
        <v>11</v>
      </c>
      <c r="E81" s="1" t="s">
        <v>12</v>
      </c>
      <c r="F81" s="3">
        <v>45392</v>
      </c>
      <c r="G81" s="3">
        <v>45403</v>
      </c>
      <c r="H81" s="3">
        <v>11</v>
      </c>
      <c r="I81" s="1" t="s">
        <v>19</v>
      </c>
      <c r="J81" s="1"/>
      <c r="K81" s="1"/>
      <c r="L81" s="1"/>
      <c r="M81" s="1"/>
    </row>
    <row r="82" spans="1:13">
      <c r="A82" s="1" t="s">
        <v>106</v>
      </c>
      <c r="B82" s="1" t="s">
        <v>94</v>
      </c>
      <c r="C82" s="3">
        <v>84</v>
      </c>
      <c r="D82" s="1" t="s">
        <v>21</v>
      </c>
      <c r="E82" s="1" t="s">
        <v>18</v>
      </c>
      <c r="F82" s="3">
        <v>45394</v>
      </c>
      <c r="G82" s="3">
        <v>45407</v>
      </c>
      <c r="H82" s="3">
        <v>13</v>
      </c>
      <c r="I82" s="1" t="s">
        <v>25</v>
      </c>
      <c r="J82" s="1"/>
      <c r="K82" s="1"/>
      <c r="L82" s="1"/>
      <c r="M82" s="1"/>
    </row>
    <row r="83" spans="1:13">
      <c r="A83" s="1" t="s">
        <v>107</v>
      </c>
      <c r="B83" s="1" t="s">
        <v>94</v>
      </c>
      <c r="C83" s="3">
        <v>78</v>
      </c>
      <c r="D83" s="1" t="s">
        <v>21</v>
      </c>
      <c r="E83" s="1" t="s">
        <v>22</v>
      </c>
      <c r="F83" s="3">
        <v>45440</v>
      </c>
      <c r="G83" s="3">
        <v>45443</v>
      </c>
      <c r="H83" s="3">
        <v>3</v>
      </c>
      <c r="I83" s="1" t="s">
        <v>19</v>
      </c>
      <c r="J83" s="1"/>
      <c r="K83" s="1"/>
      <c r="L83" s="1"/>
      <c r="M83" s="1"/>
    </row>
    <row r="84" spans="1:13">
      <c r="A84" s="1" t="s">
        <v>108</v>
      </c>
      <c r="B84" s="1" t="s">
        <v>94</v>
      </c>
      <c r="C84" s="3">
        <v>45</v>
      </c>
      <c r="D84" s="1" t="s">
        <v>11</v>
      </c>
      <c r="E84" s="1" t="s">
        <v>12</v>
      </c>
      <c r="F84" s="3">
        <v>45427</v>
      </c>
      <c r="G84" s="3">
        <v>45430</v>
      </c>
      <c r="H84" s="4"/>
      <c r="I84" s="1" t="s">
        <v>16</v>
      </c>
      <c r="J84" s="1"/>
      <c r="K84" s="1"/>
      <c r="L84" s="1"/>
      <c r="M84" s="1"/>
    </row>
    <row r="85" spans="1:13">
      <c r="A85" s="1" t="s">
        <v>109</v>
      </c>
      <c r="B85" s="1" t="s">
        <v>110</v>
      </c>
      <c r="C85" s="3">
        <v>28</v>
      </c>
      <c r="D85" s="1" t="s">
        <v>21</v>
      </c>
      <c r="E85" s="1" t="s">
        <v>15</v>
      </c>
      <c r="F85" s="3">
        <v>45417</v>
      </c>
      <c r="G85" s="3">
        <v>45419</v>
      </c>
      <c r="H85" s="3">
        <v>2</v>
      </c>
      <c r="I85" s="1" t="s">
        <v>25</v>
      </c>
      <c r="J85" s="1"/>
      <c r="K85" s="1"/>
      <c r="L85" s="1"/>
      <c r="M85" s="1"/>
    </row>
    <row r="86" spans="1:13">
      <c r="A86" s="1" t="s">
        <v>111</v>
      </c>
      <c r="B86" s="1" t="s">
        <v>110</v>
      </c>
      <c r="C86" s="3">
        <v>52</v>
      </c>
      <c r="D86" s="1" t="s">
        <v>11</v>
      </c>
      <c r="E86" s="1" t="s">
        <v>15</v>
      </c>
      <c r="F86" s="3">
        <v>45393</v>
      </c>
      <c r="G86" s="3">
        <v>45401</v>
      </c>
      <c r="H86" s="3">
        <v>8</v>
      </c>
      <c r="I86" s="1" t="s">
        <v>35</v>
      </c>
      <c r="J86" s="1"/>
      <c r="K86" s="1"/>
      <c r="L86" s="1"/>
      <c r="M86" s="1"/>
    </row>
    <row r="87" spans="1:13">
      <c r="A87" s="1" t="s">
        <v>112</v>
      </c>
      <c r="B87" s="1" t="s">
        <v>110</v>
      </c>
      <c r="C87" s="3">
        <v>36</v>
      </c>
      <c r="D87" s="1" t="s">
        <v>21</v>
      </c>
      <c r="E87" s="1" t="s">
        <v>24</v>
      </c>
      <c r="F87" s="3">
        <v>45408</v>
      </c>
      <c r="G87" s="3">
        <v>45419</v>
      </c>
      <c r="H87" s="3">
        <v>11</v>
      </c>
      <c r="I87" s="1" t="s">
        <v>19</v>
      </c>
      <c r="J87" s="1"/>
      <c r="K87" s="1"/>
      <c r="L87" s="1"/>
      <c r="M87" s="1"/>
    </row>
    <row r="88" spans="1:13">
      <c r="A88" s="1" t="s">
        <v>113</v>
      </c>
      <c r="B88" s="1" t="s">
        <v>110</v>
      </c>
      <c r="C88" s="3">
        <v>12</v>
      </c>
      <c r="D88" s="1" t="s">
        <v>21</v>
      </c>
      <c r="E88" s="1" t="s">
        <v>18</v>
      </c>
      <c r="F88" s="3">
        <v>45390</v>
      </c>
      <c r="G88" s="3">
        <v>45395</v>
      </c>
      <c r="H88" s="3">
        <v>5</v>
      </c>
      <c r="I88" s="1" t="s">
        <v>35</v>
      </c>
      <c r="J88" s="1"/>
      <c r="K88" s="1"/>
      <c r="L88" s="1"/>
      <c r="M88" s="1"/>
    </row>
    <row r="89" spans="1:13">
      <c r="A89" s="1" t="s">
        <v>114</v>
      </c>
      <c r="B89" s="1" t="s">
        <v>110</v>
      </c>
      <c r="C89" s="3">
        <v>88</v>
      </c>
      <c r="D89" s="1" t="s">
        <v>11</v>
      </c>
      <c r="E89" s="1" t="s">
        <v>22</v>
      </c>
      <c r="F89" s="3">
        <v>45391</v>
      </c>
      <c r="G89" s="3">
        <v>45402</v>
      </c>
      <c r="H89" s="3">
        <v>11</v>
      </c>
      <c r="I89" s="1" t="s">
        <v>25</v>
      </c>
      <c r="J89" s="1"/>
      <c r="K89" s="1"/>
      <c r="L89" s="1"/>
      <c r="M89" s="1"/>
    </row>
    <row r="90" spans="1:13">
      <c r="A90" s="1" t="s">
        <v>114</v>
      </c>
      <c r="B90" s="1" t="s">
        <v>110</v>
      </c>
      <c r="C90" s="3">
        <v>88</v>
      </c>
      <c r="D90" s="1" t="s">
        <v>11</v>
      </c>
      <c r="E90" s="1" t="s">
        <v>22</v>
      </c>
      <c r="F90" s="3">
        <v>45391</v>
      </c>
      <c r="G90" s="3">
        <v>45402</v>
      </c>
      <c r="H90" s="3">
        <v>11</v>
      </c>
      <c r="I90" s="1" t="s">
        <v>25</v>
      </c>
      <c r="J90" s="1"/>
      <c r="K90" s="1"/>
      <c r="L90" s="1"/>
      <c r="M90" s="1"/>
    </row>
    <row r="91" spans="1:13">
      <c r="A91" s="1" t="s">
        <v>115</v>
      </c>
      <c r="B91" s="1" t="s">
        <v>110</v>
      </c>
      <c r="C91" s="3">
        <v>45</v>
      </c>
      <c r="D91" s="1" t="s">
        <v>11</v>
      </c>
      <c r="E91" s="1" t="s">
        <v>15</v>
      </c>
      <c r="F91" s="3">
        <v>45438</v>
      </c>
      <c r="G91" s="3">
        <v>45448</v>
      </c>
      <c r="H91" s="3">
        <v>10</v>
      </c>
      <c r="I91" s="1" t="s">
        <v>35</v>
      </c>
      <c r="J91" s="1"/>
      <c r="K91" s="1"/>
      <c r="L91" s="1"/>
      <c r="M91" s="1"/>
    </row>
    <row r="92" spans="1:13">
      <c r="A92" s="1" t="s">
        <v>116</v>
      </c>
      <c r="B92" s="1" t="s">
        <v>110</v>
      </c>
      <c r="C92" s="3">
        <v>45</v>
      </c>
      <c r="D92" s="1" t="s">
        <v>11</v>
      </c>
      <c r="E92" s="1" t="s">
        <v>15</v>
      </c>
      <c r="F92" s="3">
        <v>45400</v>
      </c>
      <c r="G92" s="3">
        <v>45411</v>
      </c>
      <c r="H92" s="3">
        <v>11</v>
      </c>
      <c r="I92" s="1" t="s">
        <v>25</v>
      </c>
      <c r="J92" s="1"/>
      <c r="K92" s="1"/>
      <c r="L92" s="1"/>
      <c r="M92" s="1"/>
    </row>
    <row r="93" spans="1:13">
      <c r="A93" s="1" t="s">
        <v>117</v>
      </c>
      <c r="B93" s="1" t="s">
        <v>110</v>
      </c>
      <c r="C93" s="3">
        <v>63</v>
      </c>
      <c r="D93" s="1" t="s">
        <v>21</v>
      </c>
      <c r="E93" s="1" t="s">
        <v>12</v>
      </c>
      <c r="F93" s="3">
        <v>45389</v>
      </c>
      <c r="G93" s="3">
        <v>45400</v>
      </c>
      <c r="H93" s="3">
        <v>11</v>
      </c>
      <c r="I93" s="1" t="s">
        <v>16</v>
      </c>
      <c r="J93" s="1"/>
      <c r="K93" s="1"/>
      <c r="L93" s="1"/>
      <c r="M93" s="1"/>
    </row>
    <row r="94" spans="1:13">
      <c r="A94" s="1" t="s">
        <v>118</v>
      </c>
      <c r="B94" s="1" t="s">
        <v>110</v>
      </c>
      <c r="C94" s="3">
        <v>41</v>
      </c>
      <c r="D94" s="1" t="s">
        <v>21</v>
      </c>
      <c r="E94" s="1" t="s">
        <v>12</v>
      </c>
      <c r="F94" s="3">
        <v>45411</v>
      </c>
      <c r="G94" s="3">
        <v>45414</v>
      </c>
      <c r="H94" s="3">
        <v>3</v>
      </c>
      <c r="I94" s="1" t="s">
        <v>19</v>
      </c>
      <c r="J94" s="1"/>
      <c r="K94" s="1"/>
      <c r="L94" s="1"/>
      <c r="M94" s="1"/>
    </row>
    <row r="95" spans="1:13">
      <c r="A95" s="1" t="s">
        <v>119</v>
      </c>
      <c r="B95" s="1" t="s">
        <v>110</v>
      </c>
      <c r="C95" s="3">
        <v>88</v>
      </c>
      <c r="D95" s="1" t="s">
        <v>11</v>
      </c>
      <c r="E95" s="1" t="s">
        <v>18</v>
      </c>
      <c r="F95" s="3">
        <v>45438</v>
      </c>
      <c r="G95" s="3">
        <v>45440</v>
      </c>
      <c r="H95" s="3">
        <v>2</v>
      </c>
      <c r="I95" s="1" t="s">
        <v>25</v>
      </c>
      <c r="J95" s="1"/>
      <c r="K95" s="1"/>
      <c r="L95" s="1"/>
      <c r="M95" s="1"/>
    </row>
    <row r="96" spans="1:13">
      <c r="A96" s="1" t="s">
        <v>120</v>
      </c>
      <c r="B96" s="1" t="s">
        <v>110</v>
      </c>
      <c r="C96" s="3">
        <v>25</v>
      </c>
      <c r="D96" s="1" t="s">
        <v>11</v>
      </c>
      <c r="E96" s="1" t="s">
        <v>12</v>
      </c>
      <c r="F96" s="3">
        <v>45413</v>
      </c>
      <c r="G96" s="3">
        <v>45417</v>
      </c>
      <c r="H96" s="3">
        <v>4</v>
      </c>
      <c r="I96" s="1" t="s">
        <v>13</v>
      </c>
      <c r="J96" s="1"/>
      <c r="K96" s="1"/>
      <c r="L96" s="1"/>
      <c r="M96" s="1"/>
    </row>
    <row r="97" spans="1:13">
      <c r="A97" s="1" t="s">
        <v>121</v>
      </c>
      <c r="B97" s="1" t="s">
        <v>110</v>
      </c>
      <c r="C97" s="3">
        <v>54</v>
      </c>
      <c r="D97" s="1" t="s">
        <v>21</v>
      </c>
      <c r="E97" s="1" t="s">
        <v>15</v>
      </c>
      <c r="F97" s="3">
        <v>45407</v>
      </c>
      <c r="G97" s="3">
        <v>45412</v>
      </c>
      <c r="H97" s="3">
        <v>5</v>
      </c>
      <c r="I97" s="1" t="s">
        <v>25</v>
      </c>
      <c r="J97" s="1"/>
      <c r="K97" s="1"/>
      <c r="L97" s="1"/>
      <c r="M97" s="1"/>
    </row>
    <row r="98" spans="1:13">
      <c r="A98" s="1" t="s">
        <v>122</v>
      </c>
      <c r="B98" s="1" t="s">
        <v>110</v>
      </c>
      <c r="C98" s="3">
        <v>37</v>
      </c>
      <c r="D98" s="1" t="s">
        <v>11</v>
      </c>
      <c r="E98" s="1" t="s">
        <v>22</v>
      </c>
      <c r="F98" s="3">
        <v>45425</v>
      </c>
      <c r="G98" s="3">
        <v>45437</v>
      </c>
      <c r="H98" s="3">
        <v>12</v>
      </c>
      <c r="I98" s="1" t="s">
        <v>19</v>
      </c>
      <c r="J98" s="1"/>
      <c r="K98" s="1"/>
      <c r="L98" s="1"/>
      <c r="M98" s="1"/>
    </row>
    <row r="99" spans="1:13">
      <c r="A99" s="1" t="s">
        <v>123</v>
      </c>
      <c r="B99" s="1" t="s">
        <v>110</v>
      </c>
      <c r="C99" s="3">
        <v>87</v>
      </c>
      <c r="D99" s="1" t="s">
        <v>21</v>
      </c>
      <c r="E99" s="1" t="s">
        <v>30</v>
      </c>
      <c r="F99" s="3">
        <v>45401</v>
      </c>
      <c r="G99" s="3">
        <v>45404</v>
      </c>
      <c r="H99" s="3">
        <v>3</v>
      </c>
      <c r="I99" s="1" t="s">
        <v>25</v>
      </c>
      <c r="J99" s="1"/>
      <c r="K99" s="1"/>
      <c r="L99" s="1"/>
      <c r="M99" s="1"/>
    </row>
    <row r="100" spans="1:13">
      <c r="A100" s="1" t="s">
        <v>124</v>
      </c>
      <c r="B100" s="1" t="s">
        <v>110</v>
      </c>
      <c r="C100" s="3">
        <v>88</v>
      </c>
      <c r="D100" s="1" t="s">
        <v>21</v>
      </c>
      <c r="E100" s="1" t="s">
        <v>30</v>
      </c>
      <c r="F100" s="3">
        <v>45393</v>
      </c>
      <c r="G100" s="3">
        <v>45405</v>
      </c>
      <c r="H100" s="3">
        <v>12</v>
      </c>
      <c r="I100" s="1" t="s">
        <v>13</v>
      </c>
      <c r="J100" s="1"/>
      <c r="K100" s="1"/>
      <c r="L100" s="1"/>
      <c r="M100" s="1"/>
    </row>
    <row r="101" spans="1:13">
      <c r="A101" s="1" t="s">
        <v>125</v>
      </c>
      <c r="B101" s="1" t="s">
        <v>110</v>
      </c>
      <c r="C101" s="3">
        <v>34</v>
      </c>
      <c r="D101" s="1" t="s">
        <v>11</v>
      </c>
      <c r="E101" s="1" t="s">
        <v>22</v>
      </c>
      <c r="F101" s="3">
        <v>45418</v>
      </c>
      <c r="G101" s="3">
        <v>45421</v>
      </c>
      <c r="H101" s="3">
        <v>3</v>
      </c>
      <c r="I101" s="1" t="s">
        <v>35</v>
      </c>
      <c r="J101" s="1"/>
      <c r="K101" s="1"/>
      <c r="L101" s="1"/>
      <c r="M101" s="1"/>
    </row>
    <row r="102" spans="1:13">
      <c r="A102" s="1" t="s">
        <v>126</v>
      </c>
      <c r="B102" s="1" t="s">
        <v>110</v>
      </c>
      <c r="C102" s="3">
        <v>49</v>
      </c>
      <c r="D102" s="1" t="s">
        <v>21</v>
      </c>
      <c r="E102" s="1" t="s">
        <v>24</v>
      </c>
      <c r="F102" s="3">
        <v>45430</v>
      </c>
      <c r="G102" s="3">
        <v>45436</v>
      </c>
      <c r="H102" s="3">
        <v>6</v>
      </c>
      <c r="I102" s="1" t="s">
        <v>13</v>
      </c>
    </row>
    <row r="103" spans="1:13">
      <c r="A103" s="1" t="s">
        <v>127</v>
      </c>
      <c r="B103" s="1" t="s">
        <v>110</v>
      </c>
      <c r="C103" s="3">
        <v>71</v>
      </c>
      <c r="D103" s="1" t="s">
        <v>11</v>
      </c>
      <c r="E103" s="1" t="s">
        <v>24</v>
      </c>
      <c r="F103" s="3">
        <v>45404</v>
      </c>
      <c r="G103" s="3">
        <v>45413</v>
      </c>
      <c r="H103" s="3">
        <v>9</v>
      </c>
      <c r="I103" s="1" t="s">
        <v>16</v>
      </c>
    </row>
    <row r="104" spans="1:13">
      <c r="A104" s="1" t="s">
        <v>128</v>
      </c>
      <c r="B104" s="1" t="s">
        <v>110</v>
      </c>
      <c r="C104" s="3">
        <v>61</v>
      </c>
      <c r="D104" s="1" t="s">
        <v>21</v>
      </c>
      <c r="E104" s="1" t="s">
        <v>15</v>
      </c>
      <c r="F104" s="3">
        <v>45414</v>
      </c>
      <c r="G104" s="3">
        <v>45415</v>
      </c>
      <c r="H104" s="3">
        <v>1</v>
      </c>
      <c r="I104" s="1" t="s">
        <v>19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1FF9B-CC1A-444B-BAC1-AC73187C52F5}">
  <sheetPr codeName="Sheet2"/>
  <dimension ref="A1:O101"/>
  <sheetViews>
    <sheetView workbookViewId="0">
      <selection sqref="A1:O101"/>
    </sheetView>
  </sheetViews>
  <sheetFormatPr defaultRowHeight="12.5"/>
  <cols>
    <col min="1" max="1" width="12" bestFit="1" customWidth="1"/>
    <col min="2" max="2" width="10.6328125" bestFit="1" customWidth="1"/>
    <col min="3" max="3" width="7.1796875" bestFit="1" customWidth="1"/>
    <col min="4" max="4" width="11.08984375" bestFit="1" customWidth="1"/>
    <col min="5" max="5" width="14.26953125" bestFit="1" customWidth="1"/>
    <col min="6" max="6" width="14" bestFit="1" customWidth="1"/>
    <col min="7" max="7" width="13.453125" bestFit="1" customWidth="1"/>
    <col min="8" max="8" width="10.54296875" bestFit="1" customWidth="1"/>
    <col min="9" max="9" width="14.7265625" bestFit="1" customWidth="1"/>
    <col min="10" max="10" width="16.26953125" bestFit="1" customWidth="1"/>
    <col min="11" max="11" width="14.08984375" bestFit="1" customWidth="1"/>
    <col min="12" max="12" width="17.54296875" bestFit="1" customWidth="1"/>
    <col min="13" max="13" width="9.08984375" bestFit="1" customWidth="1"/>
    <col min="14" max="14" width="13.08984375" bestFit="1" customWidth="1"/>
    <col min="15" max="15" width="15.36328125" bestFit="1" customWidth="1"/>
    <col min="16" max="16" width="11.36328125" bestFit="1" customWidth="1"/>
    <col min="17" max="17" width="15.36328125" bestFit="1" customWidth="1"/>
  </cols>
  <sheetData>
    <row r="1" spans="1:15" s="14" customFormat="1" ht="13">
      <c r="A1" s="14" t="s">
        <v>0</v>
      </c>
      <c r="B1" s="14" t="s">
        <v>2</v>
      </c>
      <c r="C1" s="14" t="s">
        <v>3</v>
      </c>
      <c r="D1" s="14" t="s">
        <v>4</v>
      </c>
      <c r="E1" s="14" t="s">
        <v>5</v>
      </c>
      <c r="F1" s="14" t="s">
        <v>6</v>
      </c>
      <c r="G1" s="14" t="s">
        <v>8</v>
      </c>
      <c r="H1" s="14" t="s">
        <v>129</v>
      </c>
      <c r="I1" s="14" t="s">
        <v>130</v>
      </c>
      <c r="J1" s="14" t="s">
        <v>131</v>
      </c>
      <c r="K1" s="14" t="s">
        <v>132</v>
      </c>
      <c r="L1" s="14" t="s">
        <v>133</v>
      </c>
      <c r="M1" s="14" t="s">
        <v>134</v>
      </c>
      <c r="N1" s="14" t="s">
        <v>141</v>
      </c>
      <c r="O1" s="14" t="s">
        <v>1</v>
      </c>
    </row>
    <row r="2" spans="1:15">
      <c r="A2" s="5" t="s">
        <v>9</v>
      </c>
      <c r="B2">
        <v>31</v>
      </c>
      <c r="C2" s="5" t="s">
        <v>11</v>
      </c>
      <c r="D2" s="5" t="s">
        <v>12</v>
      </c>
      <c r="E2" s="6">
        <v>45392</v>
      </c>
      <c r="F2" s="6">
        <v>45396</v>
      </c>
      <c r="G2" s="5" t="s">
        <v>13</v>
      </c>
      <c r="H2" s="5" t="s">
        <v>135</v>
      </c>
      <c r="I2">
        <v>2024</v>
      </c>
      <c r="J2" s="5" t="s">
        <v>136</v>
      </c>
      <c r="K2">
        <v>4</v>
      </c>
      <c r="L2">
        <v>2</v>
      </c>
      <c r="M2">
        <v>4</v>
      </c>
      <c r="N2" s="5" t="s">
        <v>142</v>
      </c>
      <c r="O2" s="5" t="s">
        <v>10</v>
      </c>
    </row>
    <row r="3" spans="1:15">
      <c r="A3" s="5" t="s">
        <v>14</v>
      </c>
      <c r="B3">
        <v>51</v>
      </c>
      <c r="C3" s="5" t="s">
        <v>11</v>
      </c>
      <c r="D3" s="5" t="s">
        <v>15</v>
      </c>
      <c r="E3" s="6">
        <v>45405</v>
      </c>
      <c r="F3" s="6">
        <v>45419</v>
      </c>
      <c r="G3" s="5" t="s">
        <v>16</v>
      </c>
      <c r="H3" s="5" t="s">
        <v>137</v>
      </c>
      <c r="I3">
        <v>2024</v>
      </c>
      <c r="J3" s="5" t="s">
        <v>136</v>
      </c>
      <c r="K3">
        <v>4</v>
      </c>
      <c r="L3">
        <v>2</v>
      </c>
      <c r="M3">
        <v>14</v>
      </c>
      <c r="N3" s="5" t="s">
        <v>143</v>
      </c>
      <c r="O3" s="5" t="s">
        <v>10</v>
      </c>
    </row>
    <row r="4" spans="1:15">
      <c r="A4" s="5" t="s">
        <v>17</v>
      </c>
      <c r="B4">
        <v>42</v>
      </c>
      <c r="C4" s="5" t="s">
        <v>11</v>
      </c>
      <c r="D4" s="5" t="s">
        <v>18</v>
      </c>
      <c r="E4" s="6">
        <v>45439</v>
      </c>
      <c r="F4" s="6">
        <v>45453</v>
      </c>
      <c r="G4" s="5" t="s">
        <v>19</v>
      </c>
      <c r="H4" s="5" t="s">
        <v>137</v>
      </c>
      <c r="I4">
        <v>2024</v>
      </c>
      <c r="J4" s="5" t="s">
        <v>138</v>
      </c>
      <c r="K4">
        <v>5</v>
      </c>
      <c r="L4">
        <v>2</v>
      </c>
      <c r="M4">
        <v>14</v>
      </c>
      <c r="N4" s="5" t="s">
        <v>143</v>
      </c>
      <c r="O4" s="5" t="s">
        <v>10</v>
      </c>
    </row>
    <row r="5" spans="1:15">
      <c r="A5" s="5" t="s">
        <v>20</v>
      </c>
      <c r="B5">
        <v>38</v>
      </c>
      <c r="C5" s="5" t="s">
        <v>21</v>
      </c>
      <c r="D5" s="5" t="s">
        <v>22</v>
      </c>
      <c r="E5" s="6">
        <v>45412</v>
      </c>
      <c r="F5" s="6">
        <v>45423</v>
      </c>
      <c r="G5" s="5" t="s">
        <v>19</v>
      </c>
      <c r="H5" s="5" t="s">
        <v>135</v>
      </c>
      <c r="I5">
        <v>2024</v>
      </c>
      <c r="J5" s="5" t="s">
        <v>136</v>
      </c>
      <c r="K5">
        <v>4</v>
      </c>
      <c r="L5">
        <v>2</v>
      </c>
      <c r="M5">
        <v>11</v>
      </c>
      <c r="N5" s="5" t="s">
        <v>143</v>
      </c>
      <c r="O5" s="5" t="s">
        <v>10</v>
      </c>
    </row>
    <row r="6" spans="1:15">
      <c r="A6" s="5" t="s">
        <v>23</v>
      </c>
      <c r="B6">
        <v>48</v>
      </c>
      <c r="C6" s="5" t="s">
        <v>11</v>
      </c>
      <c r="D6" s="5" t="s">
        <v>24</v>
      </c>
      <c r="E6" s="6">
        <v>45390</v>
      </c>
      <c r="F6" s="6">
        <v>45396</v>
      </c>
      <c r="G6" s="5" t="s">
        <v>25</v>
      </c>
      <c r="H6" s="5" t="s">
        <v>137</v>
      </c>
      <c r="I6">
        <v>2024</v>
      </c>
      <c r="J6" s="5" t="s">
        <v>136</v>
      </c>
      <c r="K6">
        <v>4</v>
      </c>
      <c r="L6">
        <v>2</v>
      </c>
      <c r="M6">
        <v>6</v>
      </c>
      <c r="N6" s="5" t="s">
        <v>142</v>
      </c>
      <c r="O6" s="5" t="s">
        <v>10</v>
      </c>
    </row>
    <row r="7" spans="1:15">
      <c r="A7" s="5" t="s">
        <v>26</v>
      </c>
      <c r="B7">
        <v>48</v>
      </c>
      <c r="C7" s="5" t="s">
        <v>21</v>
      </c>
      <c r="D7" s="5" t="s">
        <v>12</v>
      </c>
      <c r="E7" s="6">
        <v>45425</v>
      </c>
      <c r="F7" s="6">
        <v>45437</v>
      </c>
      <c r="G7" s="5" t="s">
        <v>19</v>
      </c>
      <c r="H7" s="5" t="s">
        <v>137</v>
      </c>
      <c r="I7">
        <v>2024</v>
      </c>
      <c r="J7" s="5" t="s">
        <v>138</v>
      </c>
      <c r="K7">
        <v>5</v>
      </c>
      <c r="L7">
        <v>2</v>
      </c>
      <c r="M7">
        <v>12</v>
      </c>
      <c r="N7" s="5" t="s">
        <v>143</v>
      </c>
      <c r="O7" s="5" t="s">
        <v>10</v>
      </c>
    </row>
    <row r="8" spans="1:15">
      <c r="A8" s="5" t="s">
        <v>27</v>
      </c>
      <c r="B8">
        <v>76</v>
      </c>
      <c r="C8" s="5" t="s">
        <v>21</v>
      </c>
      <c r="D8" s="5" t="s">
        <v>18</v>
      </c>
      <c r="E8" s="6">
        <v>45425</v>
      </c>
      <c r="F8" s="6">
        <v>45436</v>
      </c>
      <c r="G8" s="5" t="s">
        <v>13</v>
      </c>
      <c r="H8" s="5" t="s">
        <v>139</v>
      </c>
      <c r="I8">
        <v>2024</v>
      </c>
      <c r="J8" s="5" t="s">
        <v>138</v>
      </c>
      <c r="K8">
        <v>5</v>
      </c>
      <c r="L8">
        <v>2</v>
      </c>
      <c r="M8">
        <v>11</v>
      </c>
      <c r="N8" s="5" t="s">
        <v>143</v>
      </c>
      <c r="O8" s="5" t="s">
        <v>10</v>
      </c>
    </row>
    <row r="9" spans="1:15">
      <c r="A9" s="5" t="s">
        <v>28</v>
      </c>
      <c r="B9">
        <v>24</v>
      </c>
      <c r="C9" s="5" t="s">
        <v>11</v>
      </c>
      <c r="D9" s="5" t="s">
        <v>15</v>
      </c>
      <c r="E9" s="6">
        <v>45415</v>
      </c>
      <c r="F9" s="6">
        <v>45423</v>
      </c>
      <c r="G9" s="5" t="s">
        <v>16</v>
      </c>
      <c r="H9" s="5" t="s">
        <v>135</v>
      </c>
      <c r="I9">
        <v>2024</v>
      </c>
      <c r="J9" s="5" t="s">
        <v>138</v>
      </c>
      <c r="K9">
        <v>5</v>
      </c>
      <c r="L9">
        <v>2</v>
      </c>
      <c r="M9">
        <v>8</v>
      </c>
      <c r="N9" s="5" t="s">
        <v>143</v>
      </c>
      <c r="O9" s="5" t="s">
        <v>10</v>
      </c>
    </row>
    <row r="10" spans="1:15">
      <c r="A10" s="5" t="s">
        <v>29</v>
      </c>
      <c r="B10">
        <v>89</v>
      </c>
      <c r="C10" s="5" t="s">
        <v>21</v>
      </c>
      <c r="D10" s="5" t="s">
        <v>30</v>
      </c>
      <c r="E10" s="6">
        <v>45425</v>
      </c>
      <c r="F10" s="6">
        <v>45427</v>
      </c>
      <c r="G10" s="5" t="s">
        <v>19</v>
      </c>
      <c r="H10" s="5" t="s">
        <v>139</v>
      </c>
      <c r="I10">
        <v>2024</v>
      </c>
      <c r="J10" s="5" t="s">
        <v>138</v>
      </c>
      <c r="K10">
        <v>5</v>
      </c>
      <c r="L10">
        <v>2</v>
      </c>
      <c r="M10">
        <v>2</v>
      </c>
      <c r="N10" s="5" t="s">
        <v>144</v>
      </c>
      <c r="O10" s="5" t="s">
        <v>10</v>
      </c>
    </row>
    <row r="11" spans="1:15">
      <c r="A11" s="5" t="s">
        <v>31</v>
      </c>
      <c r="B11">
        <v>26</v>
      </c>
      <c r="C11" s="5" t="s">
        <v>21</v>
      </c>
      <c r="D11" s="5" t="s">
        <v>22</v>
      </c>
      <c r="E11" s="6">
        <v>45408</v>
      </c>
      <c r="F11" s="6">
        <v>45414</v>
      </c>
      <c r="G11" s="5" t="s">
        <v>25</v>
      </c>
      <c r="H11" s="5" t="s">
        <v>135</v>
      </c>
      <c r="I11">
        <v>2024</v>
      </c>
      <c r="J11" s="5" t="s">
        <v>136</v>
      </c>
      <c r="K11">
        <v>4</v>
      </c>
      <c r="L11">
        <v>2</v>
      </c>
      <c r="M11">
        <v>6</v>
      </c>
      <c r="N11" s="5" t="s">
        <v>142</v>
      </c>
      <c r="O11" s="5" t="s">
        <v>10</v>
      </c>
    </row>
    <row r="12" spans="1:15">
      <c r="A12" s="5" t="s">
        <v>32</v>
      </c>
      <c r="B12">
        <v>22</v>
      </c>
      <c r="C12" s="5" t="s">
        <v>11</v>
      </c>
      <c r="D12" s="5" t="s">
        <v>30</v>
      </c>
      <c r="E12" s="6">
        <v>45394</v>
      </c>
      <c r="F12" s="6">
        <v>45404</v>
      </c>
      <c r="G12" s="5" t="s">
        <v>16</v>
      </c>
      <c r="H12" s="5" t="s">
        <v>135</v>
      </c>
      <c r="I12">
        <v>2024</v>
      </c>
      <c r="J12" s="5" t="s">
        <v>136</v>
      </c>
      <c r="K12">
        <v>4</v>
      </c>
      <c r="L12">
        <v>2</v>
      </c>
      <c r="M12">
        <v>10</v>
      </c>
      <c r="N12" s="5" t="s">
        <v>143</v>
      </c>
      <c r="O12" s="5" t="s">
        <v>10</v>
      </c>
    </row>
    <row r="13" spans="1:15">
      <c r="A13" s="5" t="s">
        <v>33</v>
      </c>
      <c r="B13">
        <v>73</v>
      </c>
      <c r="C13" s="5" t="s">
        <v>11</v>
      </c>
      <c r="D13" s="5" t="s">
        <v>12</v>
      </c>
      <c r="E13" s="6">
        <v>45405</v>
      </c>
      <c r="F13" s="6">
        <v>45417</v>
      </c>
      <c r="G13" s="5" t="s">
        <v>25</v>
      </c>
      <c r="H13" s="5" t="s">
        <v>139</v>
      </c>
      <c r="I13">
        <v>2024</v>
      </c>
      <c r="J13" s="5" t="s">
        <v>136</v>
      </c>
      <c r="K13">
        <v>4</v>
      </c>
      <c r="L13">
        <v>2</v>
      </c>
      <c r="M13">
        <v>12</v>
      </c>
      <c r="N13" s="5" t="s">
        <v>143</v>
      </c>
      <c r="O13" s="5" t="s">
        <v>10</v>
      </c>
    </row>
    <row r="14" spans="1:15">
      <c r="A14" s="5" t="s">
        <v>34</v>
      </c>
      <c r="B14">
        <v>58</v>
      </c>
      <c r="C14" s="5" t="s">
        <v>11</v>
      </c>
      <c r="D14" s="5" t="s">
        <v>15</v>
      </c>
      <c r="E14" s="6">
        <v>45443</v>
      </c>
      <c r="F14" s="6">
        <v>45454</v>
      </c>
      <c r="G14" s="5" t="s">
        <v>35</v>
      </c>
      <c r="H14" s="5" t="s">
        <v>137</v>
      </c>
      <c r="I14">
        <v>2024</v>
      </c>
      <c r="J14" s="5" t="s">
        <v>138</v>
      </c>
      <c r="K14">
        <v>5</v>
      </c>
      <c r="L14">
        <v>2</v>
      </c>
      <c r="M14">
        <v>11</v>
      </c>
      <c r="N14" s="5" t="s">
        <v>143</v>
      </c>
      <c r="O14" s="5" t="s">
        <v>10</v>
      </c>
    </row>
    <row r="15" spans="1:15">
      <c r="A15" s="5" t="s">
        <v>36</v>
      </c>
      <c r="B15">
        <v>69</v>
      </c>
      <c r="C15" s="5" t="s">
        <v>11</v>
      </c>
      <c r="D15" s="5" t="s">
        <v>22</v>
      </c>
      <c r="E15" s="6">
        <v>45422</v>
      </c>
      <c r="F15" s="6">
        <v>45432</v>
      </c>
      <c r="G15" s="5" t="s">
        <v>35</v>
      </c>
      <c r="H15" s="5" t="s">
        <v>139</v>
      </c>
      <c r="I15">
        <v>2024</v>
      </c>
      <c r="J15" s="5" t="s">
        <v>138</v>
      </c>
      <c r="K15">
        <v>5</v>
      </c>
      <c r="L15">
        <v>2</v>
      </c>
      <c r="M15">
        <v>10</v>
      </c>
      <c r="N15" s="5" t="s">
        <v>143</v>
      </c>
      <c r="O15" s="5" t="s">
        <v>10</v>
      </c>
    </row>
    <row r="16" spans="1:15">
      <c r="A16" s="5" t="s">
        <v>37</v>
      </c>
      <c r="B16">
        <v>74</v>
      </c>
      <c r="C16" s="5" t="s">
        <v>21</v>
      </c>
      <c r="D16" s="5" t="s">
        <v>30</v>
      </c>
      <c r="E16" s="6">
        <v>45418</v>
      </c>
      <c r="F16" s="6">
        <v>45428</v>
      </c>
      <c r="G16" s="5" t="s">
        <v>16</v>
      </c>
      <c r="H16" s="5" t="s">
        <v>139</v>
      </c>
      <c r="I16">
        <v>2024</v>
      </c>
      <c r="J16" s="5" t="s">
        <v>138</v>
      </c>
      <c r="K16">
        <v>5</v>
      </c>
      <c r="L16">
        <v>2</v>
      </c>
      <c r="M16">
        <v>10</v>
      </c>
      <c r="N16" s="5" t="s">
        <v>143</v>
      </c>
      <c r="O16" s="5" t="s">
        <v>10</v>
      </c>
    </row>
    <row r="17" spans="1:15">
      <c r="A17" s="5" t="s">
        <v>38</v>
      </c>
      <c r="B17">
        <v>84</v>
      </c>
      <c r="C17" s="5" t="s">
        <v>21</v>
      </c>
      <c r="D17" s="5" t="s">
        <v>15</v>
      </c>
      <c r="E17" s="6">
        <v>45436</v>
      </c>
      <c r="F17" s="6">
        <v>45447</v>
      </c>
      <c r="G17" s="5" t="s">
        <v>19</v>
      </c>
      <c r="H17" s="5" t="s">
        <v>139</v>
      </c>
      <c r="I17">
        <v>2024</v>
      </c>
      <c r="J17" s="5" t="s">
        <v>138</v>
      </c>
      <c r="K17">
        <v>5</v>
      </c>
      <c r="L17">
        <v>2</v>
      </c>
      <c r="M17">
        <v>11</v>
      </c>
      <c r="N17" s="5" t="s">
        <v>143</v>
      </c>
      <c r="O17" s="5" t="s">
        <v>10</v>
      </c>
    </row>
    <row r="18" spans="1:15">
      <c r="A18" s="5" t="s">
        <v>39</v>
      </c>
      <c r="B18">
        <v>67</v>
      </c>
      <c r="C18" s="5" t="s">
        <v>21</v>
      </c>
      <c r="D18" s="5" t="s">
        <v>30</v>
      </c>
      <c r="E18" s="6">
        <v>45443</v>
      </c>
      <c r="F18" s="6">
        <v>45449</v>
      </c>
      <c r="G18" s="5" t="s">
        <v>25</v>
      </c>
      <c r="H18" s="5" t="s">
        <v>139</v>
      </c>
      <c r="I18">
        <v>2024</v>
      </c>
      <c r="J18" s="5" t="s">
        <v>138</v>
      </c>
      <c r="K18">
        <v>5</v>
      </c>
      <c r="L18">
        <v>2</v>
      </c>
      <c r="M18">
        <v>6</v>
      </c>
      <c r="N18" s="5" t="s">
        <v>142</v>
      </c>
      <c r="O18" s="5" t="s">
        <v>10</v>
      </c>
    </row>
    <row r="19" spans="1:15">
      <c r="A19" s="5" t="s">
        <v>40</v>
      </c>
      <c r="B19">
        <v>38</v>
      </c>
      <c r="C19" s="5" t="s">
        <v>21</v>
      </c>
      <c r="D19" s="5" t="s">
        <v>22</v>
      </c>
      <c r="E19" s="6">
        <v>45420</v>
      </c>
      <c r="F19" s="6">
        <v>45425</v>
      </c>
      <c r="G19" s="5" t="s">
        <v>35</v>
      </c>
      <c r="H19" s="5" t="s">
        <v>135</v>
      </c>
      <c r="I19">
        <v>2024</v>
      </c>
      <c r="J19" s="5" t="s">
        <v>138</v>
      </c>
      <c r="K19">
        <v>5</v>
      </c>
      <c r="L19">
        <v>2</v>
      </c>
      <c r="M19">
        <v>5</v>
      </c>
      <c r="N19" s="5" t="s">
        <v>142</v>
      </c>
      <c r="O19" s="5" t="s">
        <v>147</v>
      </c>
    </row>
    <row r="20" spans="1:15">
      <c r="A20" s="5" t="s">
        <v>42</v>
      </c>
      <c r="B20">
        <v>47</v>
      </c>
      <c r="C20" s="5" t="s">
        <v>11</v>
      </c>
      <c r="D20" s="5" t="s">
        <v>12</v>
      </c>
      <c r="E20" s="6">
        <v>45432</v>
      </c>
      <c r="F20" s="6">
        <v>45437</v>
      </c>
      <c r="G20" s="5" t="s">
        <v>35</v>
      </c>
      <c r="H20" s="5" t="s">
        <v>137</v>
      </c>
      <c r="I20">
        <v>2024</v>
      </c>
      <c r="J20" s="5" t="s">
        <v>138</v>
      </c>
      <c r="K20">
        <v>5</v>
      </c>
      <c r="L20">
        <v>2</v>
      </c>
      <c r="M20">
        <v>5</v>
      </c>
      <c r="N20" s="5" t="s">
        <v>142</v>
      </c>
      <c r="O20" s="5" t="s">
        <v>147</v>
      </c>
    </row>
    <row r="21" spans="1:15">
      <c r="A21" s="5" t="s">
        <v>43</v>
      </c>
      <c r="B21">
        <v>12</v>
      </c>
      <c r="C21" s="5" t="s">
        <v>21</v>
      </c>
      <c r="D21" s="5" t="s">
        <v>15</v>
      </c>
      <c r="E21" s="6">
        <v>45426</v>
      </c>
      <c r="F21" s="6">
        <v>45438</v>
      </c>
      <c r="G21" s="5" t="s">
        <v>35</v>
      </c>
      <c r="H21" s="5" t="s">
        <v>140</v>
      </c>
      <c r="I21">
        <v>2024</v>
      </c>
      <c r="J21" s="5" t="s">
        <v>138</v>
      </c>
      <c r="K21">
        <v>5</v>
      </c>
      <c r="L21">
        <v>2</v>
      </c>
      <c r="M21">
        <v>12</v>
      </c>
      <c r="N21" s="5" t="s">
        <v>143</v>
      </c>
      <c r="O21" s="5" t="s">
        <v>147</v>
      </c>
    </row>
    <row r="22" spans="1:15">
      <c r="A22" s="5" t="s">
        <v>44</v>
      </c>
      <c r="B22">
        <v>10</v>
      </c>
      <c r="C22" s="5" t="s">
        <v>11</v>
      </c>
      <c r="D22" s="5" t="s">
        <v>24</v>
      </c>
      <c r="E22" s="6">
        <v>45423</v>
      </c>
      <c r="F22" s="6">
        <v>45425</v>
      </c>
      <c r="G22" s="5" t="s">
        <v>19</v>
      </c>
      <c r="H22" s="5" t="s">
        <v>140</v>
      </c>
      <c r="I22">
        <v>2024</v>
      </c>
      <c r="J22" s="5" t="s">
        <v>138</v>
      </c>
      <c r="K22">
        <v>5</v>
      </c>
      <c r="L22">
        <v>2</v>
      </c>
      <c r="M22">
        <v>2</v>
      </c>
      <c r="N22" s="5" t="s">
        <v>144</v>
      </c>
      <c r="O22" s="5" t="s">
        <v>147</v>
      </c>
    </row>
    <row r="23" spans="1:15">
      <c r="A23" s="5" t="s">
        <v>46</v>
      </c>
      <c r="B23">
        <v>12</v>
      </c>
      <c r="C23" s="5" t="s">
        <v>11</v>
      </c>
      <c r="D23" s="5" t="s">
        <v>30</v>
      </c>
      <c r="E23" s="6">
        <v>45385</v>
      </c>
      <c r="F23" s="6">
        <v>45386</v>
      </c>
      <c r="G23" s="5" t="s">
        <v>25</v>
      </c>
      <c r="H23" s="5" t="s">
        <v>140</v>
      </c>
      <c r="I23">
        <v>2024</v>
      </c>
      <c r="J23" s="5" t="s">
        <v>136</v>
      </c>
      <c r="K23">
        <v>4</v>
      </c>
      <c r="L23">
        <v>2</v>
      </c>
      <c r="M23">
        <v>1</v>
      </c>
      <c r="N23" s="5" t="s">
        <v>144</v>
      </c>
      <c r="O23" s="5" t="s">
        <v>147</v>
      </c>
    </row>
    <row r="24" spans="1:15">
      <c r="A24" s="5" t="s">
        <v>47</v>
      </c>
      <c r="B24">
        <v>47</v>
      </c>
      <c r="C24" s="5" t="s">
        <v>11</v>
      </c>
      <c r="D24" s="5" t="s">
        <v>22</v>
      </c>
      <c r="E24" s="6">
        <v>45436</v>
      </c>
      <c r="F24" s="6">
        <v>45449</v>
      </c>
      <c r="G24" s="5" t="s">
        <v>16</v>
      </c>
      <c r="H24" s="5" t="s">
        <v>137</v>
      </c>
      <c r="I24">
        <v>2024</v>
      </c>
      <c r="J24" s="5" t="s">
        <v>138</v>
      </c>
      <c r="K24">
        <v>5</v>
      </c>
      <c r="L24">
        <v>2</v>
      </c>
      <c r="M24">
        <v>13</v>
      </c>
      <c r="N24" s="5" t="s">
        <v>143</v>
      </c>
      <c r="O24" s="5" t="s">
        <v>147</v>
      </c>
    </row>
    <row r="25" spans="1:15">
      <c r="A25" s="5" t="s">
        <v>48</v>
      </c>
      <c r="B25">
        <v>80</v>
      </c>
      <c r="C25" s="5" t="s">
        <v>11</v>
      </c>
      <c r="D25" s="5" t="s">
        <v>30</v>
      </c>
      <c r="E25" s="6">
        <v>45443</v>
      </c>
      <c r="F25" s="6">
        <v>45445</v>
      </c>
      <c r="G25" s="5" t="s">
        <v>19</v>
      </c>
      <c r="H25" s="5" t="s">
        <v>139</v>
      </c>
      <c r="I25">
        <v>2024</v>
      </c>
      <c r="J25" s="5" t="s">
        <v>138</v>
      </c>
      <c r="K25">
        <v>5</v>
      </c>
      <c r="L25">
        <v>2</v>
      </c>
      <c r="M25">
        <v>2</v>
      </c>
      <c r="N25" s="5" t="s">
        <v>144</v>
      </c>
      <c r="O25" s="5" t="s">
        <v>147</v>
      </c>
    </row>
    <row r="26" spans="1:15">
      <c r="A26" s="5" t="s">
        <v>49</v>
      </c>
      <c r="B26">
        <v>60</v>
      </c>
      <c r="C26" s="5" t="s">
        <v>11</v>
      </c>
      <c r="D26" s="5" t="s">
        <v>30</v>
      </c>
      <c r="E26" s="6">
        <v>45397</v>
      </c>
      <c r="F26" s="6">
        <v>45399</v>
      </c>
      <c r="G26" s="5" t="s">
        <v>19</v>
      </c>
      <c r="H26" s="5" t="s">
        <v>139</v>
      </c>
      <c r="I26">
        <v>2024</v>
      </c>
      <c r="J26" s="5" t="s">
        <v>136</v>
      </c>
      <c r="K26">
        <v>4</v>
      </c>
      <c r="L26">
        <v>2</v>
      </c>
      <c r="M26">
        <v>2</v>
      </c>
      <c r="N26" s="5" t="s">
        <v>144</v>
      </c>
      <c r="O26" s="5" t="s">
        <v>147</v>
      </c>
    </row>
    <row r="27" spans="1:15">
      <c r="A27" s="5" t="s">
        <v>50</v>
      </c>
      <c r="B27">
        <v>30</v>
      </c>
      <c r="C27" s="5" t="s">
        <v>11</v>
      </c>
      <c r="D27" s="5" t="s">
        <v>12</v>
      </c>
      <c r="E27" s="6">
        <v>45438</v>
      </c>
      <c r="F27" s="6">
        <v>45450</v>
      </c>
      <c r="G27" s="5" t="s">
        <v>35</v>
      </c>
      <c r="H27" s="5" t="s">
        <v>135</v>
      </c>
      <c r="I27">
        <v>2024</v>
      </c>
      <c r="J27" s="5" t="s">
        <v>138</v>
      </c>
      <c r="K27">
        <v>5</v>
      </c>
      <c r="L27">
        <v>2</v>
      </c>
      <c r="M27">
        <v>12</v>
      </c>
      <c r="N27" s="5" t="s">
        <v>143</v>
      </c>
      <c r="O27" s="5" t="s">
        <v>147</v>
      </c>
    </row>
    <row r="28" spans="1:15">
      <c r="A28" s="5" t="s">
        <v>51</v>
      </c>
      <c r="B28">
        <v>49</v>
      </c>
      <c r="C28" s="5" t="s">
        <v>11</v>
      </c>
      <c r="D28" s="5" t="s">
        <v>24</v>
      </c>
      <c r="E28" s="6">
        <v>45434</v>
      </c>
      <c r="F28" s="6">
        <v>45448</v>
      </c>
      <c r="G28" s="5" t="s">
        <v>25</v>
      </c>
      <c r="H28" s="5" t="s">
        <v>137</v>
      </c>
      <c r="I28">
        <v>2024</v>
      </c>
      <c r="J28" s="5" t="s">
        <v>138</v>
      </c>
      <c r="K28">
        <v>5</v>
      </c>
      <c r="L28">
        <v>2</v>
      </c>
      <c r="M28">
        <v>14</v>
      </c>
      <c r="N28" s="5" t="s">
        <v>143</v>
      </c>
      <c r="O28" s="5" t="s">
        <v>147</v>
      </c>
    </row>
    <row r="29" spans="1:15">
      <c r="A29" s="5" t="s">
        <v>52</v>
      </c>
      <c r="B29">
        <v>48</v>
      </c>
      <c r="C29" s="5" t="s">
        <v>11</v>
      </c>
      <c r="D29" s="5" t="s">
        <v>12</v>
      </c>
      <c r="E29" s="6">
        <v>45436</v>
      </c>
      <c r="F29" s="6">
        <v>45437</v>
      </c>
      <c r="G29" s="5" t="s">
        <v>16</v>
      </c>
      <c r="H29" s="5" t="s">
        <v>137</v>
      </c>
      <c r="I29">
        <v>2024</v>
      </c>
      <c r="J29" s="5" t="s">
        <v>138</v>
      </c>
      <c r="K29">
        <v>5</v>
      </c>
      <c r="L29">
        <v>2</v>
      </c>
      <c r="M29">
        <v>1</v>
      </c>
      <c r="N29" s="5" t="s">
        <v>144</v>
      </c>
      <c r="O29" s="5" t="s">
        <v>147</v>
      </c>
    </row>
    <row r="30" spans="1:15">
      <c r="A30" s="5" t="s">
        <v>53</v>
      </c>
      <c r="B30">
        <v>18</v>
      </c>
      <c r="C30" s="5" t="s">
        <v>21</v>
      </c>
      <c r="D30" s="5" t="s">
        <v>24</v>
      </c>
      <c r="E30" s="6">
        <v>45436</v>
      </c>
      <c r="F30" s="6">
        <v>45441</v>
      </c>
      <c r="G30" s="5" t="s">
        <v>35</v>
      </c>
      <c r="H30" s="5" t="s">
        <v>135</v>
      </c>
      <c r="I30">
        <v>2024</v>
      </c>
      <c r="J30" s="5" t="s">
        <v>138</v>
      </c>
      <c r="K30">
        <v>5</v>
      </c>
      <c r="L30">
        <v>2</v>
      </c>
      <c r="M30">
        <v>5</v>
      </c>
      <c r="N30" s="5" t="s">
        <v>142</v>
      </c>
      <c r="O30" s="5" t="s">
        <v>147</v>
      </c>
    </row>
    <row r="31" spans="1:15">
      <c r="A31" s="5" t="s">
        <v>54</v>
      </c>
      <c r="B31">
        <v>63</v>
      </c>
      <c r="C31" s="5" t="s">
        <v>11</v>
      </c>
      <c r="D31" s="5" t="s">
        <v>15</v>
      </c>
      <c r="E31" s="6">
        <v>45440</v>
      </c>
      <c r="F31" s="6">
        <v>45453</v>
      </c>
      <c r="G31" s="5" t="s">
        <v>19</v>
      </c>
      <c r="H31" s="5" t="s">
        <v>139</v>
      </c>
      <c r="I31">
        <v>2024</v>
      </c>
      <c r="J31" s="5" t="s">
        <v>138</v>
      </c>
      <c r="K31">
        <v>5</v>
      </c>
      <c r="L31">
        <v>2</v>
      </c>
      <c r="M31">
        <v>13</v>
      </c>
      <c r="N31" s="5" t="s">
        <v>143</v>
      </c>
      <c r="O31" s="5" t="s">
        <v>147</v>
      </c>
    </row>
    <row r="32" spans="1:15">
      <c r="A32" s="5" t="s">
        <v>55</v>
      </c>
      <c r="B32">
        <v>78</v>
      </c>
      <c r="C32" s="5" t="s">
        <v>11</v>
      </c>
      <c r="D32" s="5" t="s">
        <v>24</v>
      </c>
      <c r="E32" s="6">
        <v>45407</v>
      </c>
      <c r="F32" s="6">
        <v>45421</v>
      </c>
      <c r="G32" s="5" t="s">
        <v>16</v>
      </c>
      <c r="H32" s="5" t="s">
        <v>139</v>
      </c>
      <c r="I32">
        <v>2024</v>
      </c>
      <c r="J32" s="5" t="s">
        <v>136</v>
      </c>
      <c r="K32">
        <v>4</v>
      </c>
      <c r="L32">
        <v>2</v>
      </c>
      <c r="M32">
        <v>14</v>
      </c>
      <c r="N32" s="5" t="s">
        <v>143</v>
      </c>
      <c r="O32" s="5" t="s">
        <v>147</v>
      </c>
    </row>
    <row r="33" spans="1:15">
      <c r="A33" s="5" t="s">
        <v>56</v>
      </c>
      <c r="B33">
        <v>73</v>
      </c>
      <c r="C33" s="5" t="s">
        <v>11</v>
      </c>
      <c r="D33" s="5" t="s">
        <v>30</v>
      </c>
      <c r="E33" s="6">
        <v>45395</v>
      </c>
      <c r="F33" s="6">
        <v>45400</v>
      </c>
      <c r="G33" s="5" t="s">
        <v>25</v>
      </c>
      <c r="H33" s="5" t="s">
        <v>139</v>
      </c>
      <c r="I33">
        <v>2024</v>
      </c>
      <c r="J33" s="5" t="s">
        <v>136</v>
      </c>
      <c r="K33">
        <v>4</v>
      </c>
      <c r="L33">
        <v>2</v>
      </c>
      <c r="M33">
        <v>5</v>
      </c>
      <c r="N33" s="5" t="s">
        <v>142</v>
      </c>
      <c r="O33" s="5" t="s">
        <v>147</v>
      </c>
    </row>
    <row r="34" spans="1:15">
      <c r="A34" s="5" t="s">
        <v>57</v>
      </c>
      <c r="B34">
        <v>76</v>
      </c>
      <c r="C34" s="5" t="s">
        <v>21</v>
      </c>
      <c r="D34" s="5" t="s">
        <v>15</v>
      </c>
      <c r="E34" s="6">
        <v>45413</v>
      </c>
      <c r="F34" s="6">
        <v>45423</v>
      </c>
      <c r="G34" s="5" t="s">
        <v>25</v>
      </c>
      <c r="H34" s="5" t="s">
        <v>139</v>
      </c>
      <c r="I34">
        <v>2024</v>
      </c>
      <c r="J34" s="5" t="s">
        <v>138</v>
      </c>
      <c r="K34">
        <v>5</v>
      </c>
      <c r="L34">
        <v>2</v>
      </c>
      <c r="M34">
        <v>10</v>
      </c>
      <c r="N34" s="5" t="s">
        <v>143</v>
      </c>
      <c r="O34" s="5" t="s">
        <v>147</v>
      </c>
    </row>
    <row r="35" spans="1:15">
      <c r="A35" s="5" t="s">
        <v>58</v>
      </c>
      <c r="B35">
        <v>76</v>
      </c>
      <c r="C35" s="5" t="s">
        <v>11</v>
      </c>
      <c r="D35" s="5" t="s">
        <v>12</v>
      </c>
      <c r="E35" s="6">
        <v>45398</v>
      </c>
      <c r="F35" s="6">
        <v>45412</v>
      </c>
      <c r="G35" s="5" t="s">
        <v>25</v>
      </c>
      <c r="H35" s="5" t="s">
        <v>139</v>
      </c>
      <c r="I35">
        <v>2024</v>
      </c>
      <c r="J35" s="5" t="s">
        <v>136</v>
      </c>
      <c r="K35">
        <v>4</v>
      </c>
      <c r="L35">
        <v>2</v>
      </c>
      <c r="M35">
        <v>14</v>
      </c>
      <c r="N35" s="5" t="s">
        <v>143</v>
      </c>
      <c r="O35" s="5" t="s">
        <v>147</v>
      </c>
    </row>
    <row r="36" spans="1:15">
      <c r="A36" s="5" t="s">
        <v>59</v>
      </c>
      <c r="B36">
        <v>54</v>
      </c>
      <c r="C36" s="5" t="s">
        <v>11</v>
      </c>
      <c r="D36" s="5" t="s">
        <v>22</v>
      </c>
      <c r="E36" s="6">
        <v>45400</v>
      </c>
      <c r="F36" s="6">
        <v>45408</v>
      </c>
      <c r="G36" s="5" t="s">
        <v>35</v>
      </c>
      <c r="H36" s="5" t="s">
        <v>137</v>
      </c>
      <c r="I36">
        <v>2024</v>
      </c>
      <c r="J36" s="5" t="s">
        <v>136</v>
      </c>
      <c r="K36">
        <v>4</v>
      </c>
      <c r="L36">
        <v>2</v>
      </c>
      <c r="M36">
        <v>8</v>
      </c>
      <c r="N36" s="5" t="s">
        <v>143</v>
      </c>
      <c r="O36" s="5" t="s">
        <v>147</v>
      </c>
    </row>
    <row r="37" spans="1:15">
      <c r="A37" s="5" t="s">
        <v>60</v>
      </c>
      <c r="B37">
        <v>35</v>
      </c>
      <c r="C37" s="5" t="s">
        <v>11</v>
      </c>
      <c r="D37" s="5" t="s">
        <v>24</v>
      </c>
      <c r="E37" s="6">
        <v>45403</v>
      </c>
      <c r="F37" s="6">
        <v>45412</v>
      </c>
      <c r="G37" s="5" t="s">
        <v>16</v>
      </c>
      <c r="H37" s="5" t="s">
        <v>135</v>
      </c>
      <c r="I37">
        <v>2024</v>
      </c>
      <c r="J37" s="5" t="s">
        <v>136</v>
      </c>
      <c r="K37">
        <v>4</v>
      </c>
      <c r="L37">
        <v>2</v>
      </c>
      <c r="M37">
        <v>9</v>
      </c>
      <c r="N37" s="5" t="s">
        <v>143</v>
      </c>
      <c r="O37" s="5" t="s">
        <v>147</v>
      </c>
    </row>
    <row r="38" spans="1:15">
      <c r="A38" s="5" t="s">
        <v>61</v>
      </c>
      <c r="B38">
        <v>28</v>
      </c>
      <c r="C38" s="5" t="s">
        <v>21</v>
      </c>
      <c r="D38" s="5" t="s">
        <v>24</v>
      </c>
      <c r="E38" s="6">
        <v>45419</v>
      </c>
      <c r="F38" s="6">
        <v>45430</v>
      </c>
      <c r="G38" s="5" t="s">
        <v>16</v>
      </c>
      <c r="H38" s="5" t="s">
        <v>135</v>
      </c>
      <c r="I38">
        <v>2024</v>
      </c>
      <c r="J38" s="5" t="s">
        <v>138</v>
      </c>
      <c r="K38">
        <v>5</v>
      </c>
      <c r="L38">
        <v>2</v>
      </c>
      <c r="M38">
        <v>11</v>
      </c>
      <c r="N38" s="5" t="s">
        <v>143</v>
      </c>
      <c r="O38" s="5" t="s">
        <v>147</v>
      </c>
    </row>
    <row r="39" spans="1:15">
      <c r="A39" s="5" t="s">
        <v>62</v>
      </c>
      <c r="B39">
        <v>14</v>
      </c>
      <c r="C39" s="5" t="s">
        <v>21</v>
      </c>
      <c r="D39" s="5" t="s">
        <v>24</v>
      </c>
      <c r="E39" s="6">
        <v>45384</v>
      </c>
      <c r="F39" s="6">
        <v>45393</v>
      </c>
      <c r="G39" s="5" t="s">
        <v>16</v>
      </c>
      <c r="H39" s="5" t="s">
        <v>140</v>
      </c>
      <c r="I39">
        <v>2024</v>
      </c>
      <c r="J39" s="5" t="s">
        <v>136</v>
      </c>
      <c r="K39">
        <v>4</v>
      </c>
      <c r="L39">
        <v>2</v>
      </c>
      <c r="M39">
        <v>9</v>
      </c>
      <c r="N39" s="5" t="s">
        <v>143</v>
      </c>
      <c r="O39" s="5" t="s">
        <v>63</v>
      </c>
    </row>
    <row r="40" spans="1:15">
      <c r="A40" s="5" t="s">
        <v>64</v>
      </c>
      <c r="B40">
        <v>90</v>
      </c>
      <c r="C40" s="5" t="s">
        <v>21</v>
      </c>
      <c r="D40" s="5" t="s">
        <v>24</v>
      </c>
      <c r="E40" s="6">
        <v>45400</v>
      </c>
      <c r="F40" s="6">
        <v>45402</v>
      </c>
      <c r="G40" s="5" t="s">
        <v>16</v>
      </c>
      <c r="H40" s="5" t="s">
        <v>139</v>
      </c>
      <c r="I40">
        <v>2024</v>
      </c>
      <c r="J40" s="5" t="s">
        <v>136</v>
      </c>
      <c r="K40">
        <v>4</v>
      </c>
      <c r="L40">
        <v>2</v>
      </c>
      <c r="M40">
        <v>2</v>
      </c>
      <c r="N40" s="5" t="s">
        <v>144</v>
      </c>
      <c r="O40" s="5" t="s">
        <v>63</v>
      </c>
    </row>
    <row r="41" spans="1:15">
      <c r="A41" s="5" t="s">
        <v>65</v>
      </c>
      <c r="B41">
        <v>83</v>
      </c>
      <c r="C41" s="5" t="s">
        <v>21</v>
      </c>
      <c r="D41" s="5" t="s">
        <v>18</v>
      </c>
      <c r="E41" s="6">
        <v>45406</v>
      </c>
      <c r="F41" s="6">
        <v>45410</v>
      </c>
      <c r="G41" s="5" t="s">
        <v>13</v>
      </c>
      <c r="H41" s="5" t="s">
        <v>139</v>
      </c>
      <c r="I41">
        <v>2024</v>
      </c>
      <c r="J41" s="5" t="s">
        <v>136</v>
      </c>
      <c r="K41">
        <v>4</v>
      </c>
      <c r="L41">
        <v>2</v>
      </c>
      <c r="M41">
        <v>4</v>
      </c>
      <c r="N41" s="5" t="s">
        <v>142</v>
      </c>
      <c r="O41" s="5" t="s">
        <v>63</v>
      </c>
    </row>
    <row r="42" spans="1:15">
      <c r="A42" s="5" t="s">
        <v>66</v>
      </c>
      <c r="B42">
        <v>38</v>
      </c>
      <c r="C42" s="5" t="s">
        <v>21</v>
      </c>
      <c r="D42" s="5" t="s">
        <v>30</v>
      </c>
      <c r="E42" s="6">
        <v>45438</v>
      </c>
      <c r="F42" s="6">
        <v>45438</v>
      </c>
      <c r="G42" s="5" t="s">
        <v>13</v>
      </c>
      <c r="H42" s="5" t="s">
        <v>135</v>
      </c>
      <c r="I42">
        <v>2024</v>
      </c>
      <c r="J42" s="5" t="s">
        <v>138</v>
      </c>
      <c r="K42">
        <v>5</v>
      </c>
      <c r="L42">
        <v>2</v>
      </c>
      <c r="M42">
        <v>0</v>
      </c>
      <c r="N42" s="5" t="s">
        <v>144</v>
      </c>
      <c r="O42" s="5" t="s">
        <v>63</v>
      </c>
    </row>
    <row r="43" spans="1:15">
      <c r="A43" s="5" t="s">
        <v>67</v>
      </c>
      <c r="B43">
        <v>14</v>
      </c>
      <c r="C43" s="5" t="s">
        <v>11</v>
      </c>
      <c r="D43" s="5" t="s">
        <v>15</v>
      </c>
      <c r="E43" s="6">
        <v>45415</v>
      </c>
      <c r="F43" s="6">
        <v>45428</v>
      </c>
      <c r="G43" s="5" t="s">
        <v>35</v>
      </c>
      <c r="H43" s="5" t="s">
        <v>140</v>
      </c>
      <c r="I43">
        <v>2024</v>
      </c>
      <c r="J43" s="5" t="s">
        <v>138</v>
      </c>
      <c r="K43">
        <v>5</v>
      </c>
      <c r="L43">
        <v>2</v>
      </c>
      <c r="M43">
        <v>13</v>
      </c>
      <c r="N43" s="5" t="s">
        <v>143</v>
      </c>
      <c r="O43" s="5" t="s">
        <v>63</v>
      </c>
    </row>
    <row r="44" spans="1:15">
      <c r="A44" s="5" t="s">
        <v>68</v>
      </c>
      <c r="B44">
        <v>26</v>
      </c>
      <c r="C44" s="5" t="s">
        <v>21</v>
      </c>
      <c r="D44" s="5" t="s">
        <v>18</v>
      </c>
      <c r="E44" s="6">
        <v>45390</v>
      </c>
      <c r="F44" s="6">
        <v>45394</v>
      </c>
      <c r="G44" s="5" t="s">
        <v>25</v>
      </c>
      <c r="H44" s="5" t="s">
        <v>135</v>
      </c>
      <c r="I44">
        <v>2024</v>
      </c>
      <c r="J44" s="5" t="s">
        <v>136</v>
      </c>
      <c r="K44">
        <v>4</v>
      </c>
      <c r="L44">
        <v>2</v>
      </c>
      <c r="M44">
        <v>4</v>
      </c>
      <c r="N44" s="5" t="s">
        <v>142</v>
      </c>
      <c r="O44" s="5" t="s">
        <v>63</v>
      </c>
    </row>
    <row r="45" spans="1:15">
      <c r="A45" s="5" t="s">
        <v>69</v>
      </c>
      <c r="B45">
        <v>78</v>
      </c>
      <c r="C45" s="5" t="s">
        <v>21</v>
      </c>
      <c r="D45" s="5" t="s">
        <v>24</v>
      </c>
      <c r="E45" s="6">
        <v>45419</v>
      </c>
      <c r="F45" s="6">
        <v>45427</v>
      </c>
      <c r="G45" s="5" t="s">
        <v>13</v>
      </c>
      <c r="H45" s="5" t="s">
        <v>139</v>
      </c>
      <c r="I45">
        <v>2024</v>
      </c>
      <c r="J45" s="5" t="s">
        <v>138</v>
      </c>
      <c r="K45">
        <v>5</v>
      </c>
      <c r="L45">
        <v>2</v>
      </c>
      <c r="M45">
        <v>8</v>
      </c>
      <c r="N45" s="5" t="s">
        <v>143</v>
      </c>
      <c r="O45" s="5" t="s">
        <v>63</v>
      </c>
    </row>
    <row r="46" spans="1:15">
      <c r="A46" s="5" t="s">
        <v>70</v>
      </c>
      <c r="B46">
        <v>26</v>
      </c>
      <c r="C46" s="5" t="s">
        <v>11</v>
      </c>
      <c r="D46" s="5" t="s">
        <v>15</v>
      </c>
      <c r="E46" s="6">
        <v>45388</v>
      </c>
      <c r="F46" s="6">
        <v>45402</v>
      </c>
      <c r="G46" s="5" t="s">
        <v>19</v>
      </c>
      <c r="H46" s="5" t="s">
        <v>135</v>
      </c>
      <c r="I46">
        <v>2024</v>
      </c>
      <c r="J46" s="5" t="s">
        <v>136</v>
      </c>
      <c r="K46">
        <v>4</v>
      </c>
      <c r="L46">
        <v>2</v>
      </c>
      <c r="M46">
        <v>14</v>
      </c>
      <c r="N46" s="5" t="s">
        <v>143</v>
      </c>
      <c r="O46" s="5" t="s">
        <v>63</v>
      </c>
    </row>
    <row r="47" spans="1:15">
      <c r="A47" s="5" t="s">
        <v>71</v>
      </c>
      <c r="B47">
        <v>62</v>
      </c>
      <c r="C47" s="5" t="s">
        <v>11</v>
      </c>
      <c r="D47" s="5" t="s">
        <v>24</v>
      </c>
      <c r="E47" s="6">
        <v>45415</v>
      </c>
      <c r="F47" s="6">
        <v>45420</v>
      </c>
      <c r="G47" s="5" t="s">
        <v>35</v>
      </c>
      <c r="H47" s="5" t="s">
        <v>139</v>
      </c>
      <c r="I47">
        <v>2024</v>
      </c>
      <c r="J47" s="5" t="s">
        <v>138</v>
      </c>
      <c r="K47">
        <v>5</v>
      </c>
      <c r="L47">
        <v>2</v>
      </c>
      <c r="M47">
        <v>5</v>
      </c>
      <c r="N47" s="5" t="s">
        <v>142</v>
      </c>
      <c r="O47" s="5" t="s">
        <v>63</v>
      </c>
    </row>
    <row r="48" spans="1:15">
      <c r="A48" s="5" t="s">
        <v>72</v>
      </c>
      <c r="B48">
        <v>40</v>
      </c>
      <c r="C48" s="5" t="s">
        <v>21</v>
      </c>
      <c r="D48" s="5" t="s">
        <v>18</v>
      </c>
      <c r="E48" s="6">
        <v>45442</v>
      </c>
      <c r="F48" s="6">
        <v>45446</v>
      </c>
      <c r="G48" s="5" t="s">
        <v>19</v>
      </c>
      <c r="H48" s="5" t="s">
        <v>137</v>
      </c>
      <c r="I48">
        <v>2024</v>
      </c>
      <c r="J48" s="5" t="s">
        <v>138</v>
      </c>
      <c r="K48">
        <v>5</v>
      </c>
      <c r="L48">
        <v>2</v>
      </c>
      <c r="M48">
        <v>4</v>
      </c>
      <c r="N48" s="5" t="s">
        <v>142</v>
      </c>
      <c r="O48" s="5" t="s">
        <v>63</v>
      </c>
    </row>
    <row r="49" spans="1:15">
      <c r="A49" s="5" t="s">
        <v>73</v>
      </c>
      <c r="B49">
        <v>46</v>
      </c>
      <c r="C49" s="5" t="s">
        <v>11</v>
      </c>
      <c r="D49" s="5" t="s">
        <v>15</v>
      </c>
      <c r="E49" s="6">
        <v>45405</v>
      </c>
      <c r="F49" s="6">
        <v>45410</v>
      </c>
      <c r="G49" s="5" t="s">
        <v>19</v>
      </c>
      <c r="H49" s="5" t="s">
        <v>137</v>
      </c>
      <c r="I49">
        <v>2024</v>
      </c>
      <c r="J49" s="5" t="s">
        <v>136</v>
      </c>
      <c r="K49">
        <v>4</v>
      </c>
      <c r="L49">
        <v>2</v>
      </c>
      <c r="M49">
        <v>5</v>
      </c>
      <c r="N49" s="5" t="s">
        <v>142</v>
      </c>
      <c r="O49" s="5" t="s">
        <v>63</v>
      </c>
    </row>
    <row r="50" spans="1:15">
      <c r="A50" s="5" t="s">
        <v>74</v>
      </c>
      <c r="B50">
        <v>71</v>
      </c>
      <c r="C50" s="5" t="s">
        <v>21</v>
      </c>
      <c r="D50" s="5" t="s">
        <v>15</v>
      </c>
      <c r="E50" s="6">
        <v>45418</v>
      </c>
      <c r="F50" s="6">
        <v>45421</v>
      </c>
      <c r="G50" s="5" t="s">
        <v>19</v>
      </c>
      <c r="H50" s="5" t="s">
        <v>139</v>
      </c>
      <c r="I50">
        <v>2024</v>
      </c>
      <c r="J50" s="5" t="s">
        <v>138</v>
      </c>
      <c r="K50">
        <v>5</v>
      </c>
      <c r="L50">
        <v>2</v>
      </c>
      <c r="M50">
        <v>3</v>
      </c>
      <c r="N50" s="5" t="s">
        <v>144</v>
      </c>
      <c r="O50" s="5" t="s">
        <v>63</v>
      </c>
    </row>
    <row r="51" spans="1:15">
      <c r="A51" s="5" t="s">
        <v>75</v>
      </c>
      <c r="B51">
        <v>36</v>
      </c>
      <c r="C51" s="5" t="s">
        <v>11</v>
      </c>
      <c r="D51" s="5" t="s">
        <v>18</v>
      </c>
      <c r="E51" s="6">
        <v>45397</v>
      </c>
      <c r="F51" s="6">
        <v>45410</v>
      </c>
      <c r="G51" s="5" t="s">
        <v>19</v>
      </c>
      <c r="H51" s="5" t="s">
        <v>135</v>
      </c>
      <c r="I51">
        <v>2024</v>
      </c>
      <c r="J51" s="5" t="s">
        <v>136</v>
      </c>
      <c r="K51">
        <v>4</v>
      </c>
      <c r="L51">
        <v>2</v>
      </c>
      <c r="M51">
        <v>13</v>
      </c>
      <c r="N51" s="5" t="s">
        <v>143</v>
      </c>
      <c r="O51" s="5" t="s">
        <v>63</v>
      </c>
    </row>
    <row r="52" spans="1:15">
      <c r="A52" s="5" t="s">
        <v>76</v>
      </c>
      <c r="B52">
        <v>80</v>
      </c>
      <c r="C52" s="5" t="s">
        <v>11</v>
      </c>
      <c r="D52" s="5" t="s">
        <v>22</v>
      </c>
      <c r="E52" s="6">
        <v>45434</v>
      </c>
      <c r="F52" s="6">
        <v>45444</v>
      </c>
      <c r="G52" s="5" t="s">
        <v>16</v>
      </c>
      <c r="H52" s="5" t="s">
        <v>139</v>
      </c>
      <c r="I52">
        <v>2024</v>
      </c>
      <c r="J52" s="5" t="s">
        <v>138</v>
      </c>
      <c r="K52">
        <v>5</v>
      </c>
      <c r="L52">
        <v>2</v>
      </c>
      <c r="M52">
        <v>10</v>
      </c>
      <c r="N52" s="5" t="s">
        <v>143</v>
      </c>
      <c r="O52" s="5" t="s">
        <v>63</v>
      </c>
    </row>
    <row r="53" spans="1:15">
      <c r="A53" s="5" t="s">
        <v>77</v>
      </c>
      <c r="B53">
        <v>86</v>
      </c>
      <c r="C53" s="5" t="s">
        <v>11</v>
      </c>
      <c r="D53" s="5" t="s">
        <v>12</v>
      </c>
      <c r="E53" s="6">
        <v>45436</v>
      </c>
      <c r="F53" s="6">
        <v>45444</v>
      </c>
      <c r="G53" s="5" t="s">
        <v>25</v>
      </c>
      <c r="H53" s="5" t="s">
        <v>139</v>
      </c>
      <c r="I53">
        <v>2024</v>
      </c>
      <c r="J53" s="5" t="s">
        <v>138</v>
      </c>
      <c r="K53">
        <v>5</v>
      </c>
      <c r="L53">
        <v>2</v>
      </c>
      <c r="M53">
        <v>8</v>
      </c>
      <c r="N53" s="5" t="s">
        <v>143</v>
      </c>
      <c r="O53" s="5" t="s">
        <v>63</v>
      </c>
    </row>
    <row r="54" spans="1:15">
      <c r="A54" s="5" t="s">
        <v>78</v>
      </c>
      <c r="B54">
        <v>51</v>
      </c>
      <c r="C54" s="5" t="s">
        <v>21</v>
      </c>
      <c r="D54" s="5" t="s">
        <v>30</v>
      </c>
      <c r="E54" s="6">
        <v>45430</v>
      </c>
      <c r="F54" s="6">
        <v>45439</v>
      </c>
      <c r="G54" s="5" t="s">
        <v>16</v>
      </c>
      <c r="H54" s="5" t="s">
        <v>137</v>
      </c>
      <c r="I54">
        <v>2024</v>
      </c>
      <c r="J54" s="5" t="s">
        <v>138</v>
      </c>
      <c r="K54">
        <v>5</v>
      </c>
      <c r="L54">
        <v>2</v>
      </c>
      <c r="M54">
        <v>9</v>
      </c>
      <c r="N54" s="5" t="s">
        <v>143</v>
      </c>
      <c r="O54" s="5" t="s">
        <v>79</v>
      </c>
    </row>
    <row r="55" spans="1:15">
      <c r="A55" s="5" t="s">
        <v>80</v>
      </c>
      <c r="B55">
        <v>10</v>
      </c>
      <c r="C55" s="5" t="s">
        <v>21</v>
      </c>
      <c r="D55" s="5" t="s">
        <v>30</v>
      </c>
      <c r="E55" s="6">
        <v>45407</v>
      </c>
      <c r="F55" s="6">
        <v>45414</v>
      </c>
      <c r="G55" s="5" t="s">
        <v>13</v>
      </c>
      <c r="H55" s="5" t="s">
        <v>140</v>
      </c>
      <c r="I55">
        <v>2024</v>
      </c>
      <c r="J55" s="5" t="s">
        <v>136</v>
      </c>
      <c r="K55">
        <v>4</v>
      </c>
      <c r="L55">
        <v>2</v>
      </c>
      <c r="M55">
        <v>7</v>
      </c>
      <c r="N55" s="5" t="s">
        <v>142</v>
      </c>
      <c r="O55" s="5" t="s">
        <v>79</v>
      </c>
    </row>
    <row r="56" spans="1:15">
      <c r="A56" s="5" t="s">
        <v>81</v>
      </c>
      <c r="B56">
        <v>43</v>
      </c>
      <c r="C56" s="5" t="s">
        <v>11</v>
      </c>
      <c r="D56" s="5" t="s">
        <v>22</v>
      </c>
      <c r="E56" s="6">
        <v>45436</v>
      </c>
      <c r="F56" s="6">
        <v>45447</v>
      </c>
      <c r="G56" s="5" t="s">
        <v>19</v>
      </c>
      <c r="H56" s="5" t="s">
        <v>137</v>
      </c>
      <c r="I56">
        <v>2024</v>
      </c>
      <c r="J56" s="5" t="s">
        <v>138</v>
      </c>
      <c r="K56">
        <v>5</v>
      </c>
      <c r="L56">
        <v>2</v>
      </c>
      <c r="M56">
        <v>11</v>
      </c>
      <c r="N56" s="5" t="s">
        <v>143</v>
      </c>
      <c r="O56" s="5" t="s">
        <v>79</v>
      </c>
    </row>
    <row r="57" spans="1:15">
      <c r="A57" s="5" t="s">
        <v>82</v>
      </c>
      <c r="B57">
        <v>18</v>
      </c>
      <c r="C57" s="5" t="s">
        <v>21</v>
      </c>
      <c r="D57" s="5" t="s">
        <v>12</v>
      </c>
      <c r="E57" s="6">
        <v>45417</v>
      </c>
      <c r="F57" s="6">
        <v>45430</v>
      </c>
      <c r="G57" s="5" t="s">
        <v>13</v>
      </c>
      <c r="H57" s="5" t="s">
        <v>135</v>
      </c>
      <c r="I57">
        <v>2024</v>
      </c>
      <c r="J57" s="5" t="s">
        <v>138</v>
      </c>
      <c r="K57">
        <v>5</v>
      </c>
      <c r="L57">
        <v>2</v>
      </c>
      <c r="M57">
        <v>13</v>
      </c>
      <c r="N57" s="5" t="s">
        <v>143</v>
      </c>
      <c r="O57" s="5" t="s">
        <v>79</v>
      </c>
    </row>
    <row r="58" spans="1:15">
      <c r="A58" s="5" t="s">
        <v>83</v>
      </c>
      <c r="B58">
        <v>46</v>
      </c>
      <c r="C58" s="5" t="s">
        <v>11</v>
      </c>
      <c r="D58" s="5" t="s">
        <v>18</v>
      </c>
      <c r="E58" s="6">
        <v>45418</v>
      </c>
      <c r="F58" s="6">
        <v>45422</v>
      </c>
      <c r="G58" s="5" t="s">
        <v>13</v>
      </c>
      <c r="H58" s="5" t="s">
        <v>137</v>
      </c>
      <c r="I58">
        <v>2024</v>
      </c>
      <c r="J58" s="5" t="s">
        <v>138</v>
      </c>
      <c r="K58">
        <v>5</v>
      </c>
      <c r="L58">
        <v>2</v>
      </c>
      <c r="M58">
        <v>4</v>
      </c>
      <c r="N58" s="5" t="s">
        <v>142</v>
      </c>
      <c r="O58" s="5" t="s">
        <v>79</v>
      </c>
    </row>
    <row r="59" spans="1:15">
      <c r="A59" s="5" t="s">
        <v>84</v>
      </c>
      <c r="B59">
        <v>79</v>
      </c>
      <c r="C59" s="5" t="s">
        <v>11</v>
      </c>
      <c r="D59" s="5" t="s">
        <v>18</v>
      </c>
      <c r="E59" s="6">
        <v>45386</v>
      </c>
      <c r="F59" s="6">
        <v>45387</v>
      </c>
      <c r="G59" s="5" t="s">
        <v>25</v>
      </c>
      <c r="H59" s="5" t="s">
        <v>139</v>
      </c>
      <c r="I59">
        <v>2024</v>
      </c>
      <c r="J59" s="5" t="s">
        <v>136</v>
      </c>
      <c r="K59">
        <v>4</v>
      </c>
      <c r="L59">
        <v>2</v>
      </c>
      <c r="M59">
        <v>1</v>
      </c>
      <c r="N59" s="5" t="s">
        <v>144</v>
      </c>
      <c r="O59" s="5" t="s">
        <v>79</v>
      </c>
    </row>
    <row r="60" spans="1:15">
      <c r="A60" s="5" t="s">
        <v>85</v>
      </c>
      <c r="B60">
        <v>49</v>
      </c>
      <c r="C60" s="5" t="s">
        <v>11</v>
      </c>
      <c r="D60" s="5" t="s">
        <v>30</v>
      </c>
      <c r="E60" s="6">
        <v>45408</v>
      </c>
      <c r="F60" s="6">
        <v>45410</v>
      </c>
      <c r="G60" s="5" t="s">
        <v>13</v>
      </c>
      <c r="H60" s="5" t="s">
        <v>137</v>
      </c>
      <c r="I60">
        <v>2024</v>
      </c>
      <c r="J60" s="5" t="s">
        <v>136</v>
      </c>
      <c r="K60">
        <v>4</v>
      </c>
      <c r="L60">
        <v>2</v>
      </c>
      <c r="M60">
        <v>2</v>
      </c>
      <c r="N60" s="5" t="s">
        <v>144</v>
      </c>
      <c r="O60" s="5" t="s">
        <v>79</v>
      </c>
    </row>
    <row r="61" spans="1:15">
      <c r="A61" s="5" t="s">
        <v>86</v>
      </c>
      <c r="B61">
        <v>90</v>
      </c>
      <c r="C61" s="5" t="s">
        <v>21</v>
      </c>
      <c r="D61" s="5" t="s">
        <v>22</v>
      </c>
      <c r="E61" s="6">
        <v>45409</v>
      </c>
      <c r="F61" s="6">
        <v>45420</v>
      </c>
      <c r="G61" s="5" t="s">
        <v>19</v>
      </c>
      <c r="H61" s="5" t="s">
        <v>139</v>
      </c>
      <c r="I61">
        <v>2024</v>
      </c>
      <c r="J61" s="5" t="s">
        <v>136</v>
      </c>
      <c r="K61">
        <v>4</v>
      </c>
      <c r="L61">
        <v>2</v>
      </c>
      <c r="M61">
        <v>11</v>
      </c>
      <c r="N61" s="5" t="s">
        <v>143</v>
      </c>
      <c r="O61" s="5" t="s">
        <v>79</v>
      </c>
    </row>
    <row r="62" spans="1:15">
      <c r="A62" s="5" t="s">
        <v>87</v>
      </c>
      <c r="B62">
        <v>30</v>
      </c>
      <c r="C62" s="5" t="s">
        <v>11</v>
      </c>
      <c r="D62" s="5" t="s">
        <v>30</v>
      </c>
      <c r="E62" s="6">
        <v>45412</v>
      </c>
      <c r="F62" s="6">
        <v>45422</v>
      </c>
      <c r="G62" s="5" t="s">
        <v>19</v>
      </c>
      <c r="H62" s="5" t="s">
        <v>135</v>
      </c>
      <c r="I62">
        <v>2024</v>
      </c>
      <c r="J62" s="5" t="s">
        <v>136</v>
      </c>
      <c r="K62">
        <v>4</v>
      </c>
      <c r="L62">
        <v>2</v>
      </c>
      <c r="M62">
        <v>10</v>
      </c>
      <c r="N62" s="5" t="s">
        <v>143</v>
      </c>
      <c r="O62" s="5" t="s">
        <v>79</v>
      </c>
    </row>
    <row r="63" spans="1:15">
      <c r="A63" s="5" t="s">
        <v>88</v>
      </c>
      <c r="B63">
        <v>56</v>
      </c>
      <c r="C63" s="5" t="s">
        <v>11</v>
      </c>
      <c r="D63" s="5" t="s">
        <v>24</v>
      </c>
      <c r="E63" s="6">
        <v>45383</v>
      </c>
      <c r="F63" s="6">
        <v>45394</v>
      </c>
      <c r="G63" s="5" t="s">
        <v>35</v>
      </c>
      <c r="H63" s="5" t="s">
        <v>137</v>
      </c>
      <c r="I63">
        <v>2024</v>
      </c>
      <c r="J63" s="5" t="s">
        <v>136</v>
      </c>
      <c r="K63">
        <v>4</v>
      </c>
      <c r="L63">
        <v>2</v>
      </c>
      <c r="M63">
        <v>11</v>
      </c>
      <c r="N63" s="5" t="s">
        <v>143</v>
      </c>
      <c r="O63" s="5" t="s">
        <v>79</v>
      </c>
    </row>
    <row r="64" spans="1:15">
      <c r="A64" s="5" t="s">
        <v>89</v>
      </c>
      <c r="B64">
        <v>60</v>
      </c>
      <c r="C64" s="5" t="s">
        <v>11</v>
      </c>
      <c r="D64" s="5" t="s">
        <v>18</v>
      </c>
      <c r="E64" s="6">
        <v>45408</v>
      </c>
      <c r="F64" s="6">
        <v>45419</v>
      </c>
      <c r="G64" s="5" t="s">
        <v>35</v>
      </c>
      <c r="H64" s="5" t="s">
        <v>139</v>
      </c>
      <c r="I64">
        <v>2024</v>
      </c>
      <c r="J64" s="5" t="s">
        <v>136</v>
      </c>
      <c r="K64">
        <v>4</v>
      </c>
      <c r="L64">
        <v>2</v>
      </c>
      <c r="M64">
        <v>11</v>
      </c>
      <c r="N64" s="5" t="s">
        <v>143</v>
      </c>
      <c r="O64" s="5" t="s">
        <v>79</v>
      </c>
    </row>
    <row r="65" spans="1:15">
      <c r="A65" s="5" t="s">
        <v>90</v>
      </c>
      <c r="B65">
        <v>59</v>
      </c>
      <c r="C65" s="5" t="s">
        <v>21</v>
      </c>
      <c r="D65" s="5" t="s">
        <v>12</v>
      </c>
      <c r="E65" s="6">
        <v>45396</v>
      </c>
      <c r="F65" s="6">
        <v>45403</v>
      </c>
      <c r="G65" s="5" t="s">
        <v>16</v>
      </c>
      <c r="H65" s="5" t="s">
        <v>137</v>
      </c>
      <c r="I65">
        <v>2024</v>
      </c>
      <c r="J65" s="5" t="s">
        <v>136</v>
      </c>
      <c r="K65">
        <v>4</v>
      </c>
      <c r="L65">
        <v>2</v>
      </c>
      <c r="M65">
        <v>7</v>
      </c>
      <c r="N65" s="5" t="s">
        <v>142</v>
      </c>
      <c r="O65" s="5" t="s">
        <v>79</v>
      </c>
    </row>
    <row r="66" spans="1:15">
      <c r="A66" s="5" t="s">
        <v>91</v>
      </c>
      <c r="B66">
        <v>78</v>
      </c>
      <c r="C66" s="5" t="s">
        <v>11</v>
      </c>
      <c r="D66" s="5" t="s">
        <v>15</v>
      </c>
      <c r="E66" s="6">
        <v>45426</v>
      </c>
      <c r="F66" s="6">
        <v>45430</v>
      </c>
      <c r="G66" s="5" t="s">
        <v>13</v>
      </c>
      <c r="H66" s="5" t="s">
        <v>139</v>
      </c>
      <c r="I66">
        <v>2024</v>
      </c>
      <c r="J66" s="5" t="s">
        <v>138</v>
      </c>
      <c r="K66">
        <v>5</v>
      </c>
      <c r="L66">
        <v>2</v>
      </c>
      <c r="M66">
        <v>4</v>
      </c>
      <c r="N66" s="5" t="s">
        <v>142</v>
      </c>
      <c r="O66" s="5" t="s">
        <v>79</v>
      </c>
    </row>
    <row r="67" spans="1:15">
      <c r="A67" s="5" t="s">
        <v>92</v>
      </c>
      <c r="B67">
        <v>20</v>
      </c>
      <c r="C67" s="5" t="s">
        <v>21</v>
      </c>
      <c r="D67" s="5" t="s">
        <v>12</v>
      </c>
      <c r="E67" s="6">
        <v>45407</v>
      </c>
      <c r="F67" s="6">
        <v>45420</v>
      </c>
      <c r="G67" s="5" t="s">
        <v>13</v>
      </c>
      <c r="H67" s="5" t="s">
        <v>135</v>
      </c>
      <c r="I67">
        <v>2024</v>
      </c>
      <c r="J67" s="5" t="s">
        <v>136</v>
      </c>
      <c r="K67">
        <v>4</v>
      </c>
      <c r="L67">
        <v>2</v>
      </c>
      <c r="M67">
        <v>13</v>
      </c>
      <c r="N67" s="5" t="s">
        <v>143</v>
      </c>
      <c r="O67" s="5" t="s">
        <v>79</v>
      </c>
    </row>
    <row r="68" spans="1:15">
      <c r="A68" s="5" t="s">
        <v>93</v>
      </c>
      <c r="B68">
        <v>12</v>
      </c>
      <c r="C68" s="5" t="s">
        <v>11</v>
      </c>
      <c r="D68" s="5" t="s">
        <v>30</v>
      </c>
      <c r="E68" s="6">
        <v>45430</v>
      </c>
      <c r="F68" s="6">
        <v>45432</v>
      </c>
      <c r="G68" s="5" t="s">
        <v>16</v>
      </c>
      <c r="H68" s="5" t="s">
        <v>140</v>
      </c>
      <c r="I68">
        <v>2024</v>
      </c>
      <c r="J68" s="5" t="s">
        <v>138</v>
      </c>
      <c r="K68">
        <v>5</v>
      </c>
      <c r="L68">
        <v>2</v>
      </c>
      <c r="M68">
        <v>2</v>
      </c>
      <c r="N68" s="5" t="s">
        <v>144</v>
      </c>
      <c r="O68" s="5" t="s">
        <v>94</v>
      </c>
    </row>
    <row r="69" spans="1:15">
      <c r="A69" s="5" t="s">
        <v>95</v>
      </c>
      <c r="B69">
        <v>27</v>
      </c>
      <c r="C69" s="5" t="s">
        <v>11</v>
      </c>
      <c r="D69" s="5" t="s">
        <v>30</v>
      </c>
      <c r="E69" s="6">
        <v>45425</v>
      </c>
      <c r="F69" s="6">
        <v>45425</v>
      </c>
      <c r="G69" s="5" t="s">
        <v>19</v>
      </c>
      <c r="H69" s="5" t="s">
        <v>135</v>
      </c>
      <c r="I69">
        <v>2024</v>
      </c>
      <c r="J69" s="5" t="s">
        <v>138</v>
      </c>
      <c r="K69">
        <v>5</v>
      </c>
      <c r="L69">
        <v>2</v>
      </c>
      <c r="M69">
        <v>0</v>
      </c>
      <c r="N69" s="5" t="s">
        <v>144</v>
      </c>
      <c r="O69" s="5" t="s">
        <v>94</v>
      </c>
    </row>
    <row r="70" spans="1:15">
      <c r="A70" s="5" t="s">
        <v>96</v>
      </c>
      <c r="B70">
        <v>65</v>
      </c>
      <c r="C70" s="5" t="s">
        <v>21</v>
      </c>
      <c r="D70" s="5" t="s">
        <v>30</v>
      </c>
      <c r="E70" s="6">
        <v>45408</v>
      </c>
      <c r="F70" s="6">
        <v>45419</v>
      </c>
      <c r="G70" s="5" t="s">
        <v>16</v>
      </c>
      <c r="H70" s="5" t="s">
        <v>139</v>
      </c>
      <c r="I70">
        <v>2024</v>
      </c>
      <c r="J70" s="5" t="s">
        <v>136</v>
      </c>
      <c r="K70">
        <v>4</v>
      </c>
      <c r="L70">
        <v>2</v>
      </c>
      <c r="M70">
        <v>11</v>
      </c>
      <c r="N70" s="5" t="s">
        <v>143</v>
      </c>
      <c r="O70" s="5" t="s">
        <v>94</v>
      </c>
    </row>
    <row r="71" spans="1:15">
      <c r="A71" s="5" t="s">
        <v>97</v>
      </c>
      <c r="B71">
        <v>87</v>
      </c>
      <c r="C71" s="5" t="s">
        <v>11</v>
      </c>
      <c r="D71" s="5" t="s">
        <v>15</v>
      </c>
      <c r="E71" s="6">
        <v>45386</v>
      </c>
      <c r="F71" s="6">
        <v>45396</v>
      </c>
      <c r="G71" s="5" t="s">
        <v>35</v>
      </c>
      <c r="H71" s="5" t="s">
        <v>139</v>
      </c>
      <c r="I71">
        <v>2024</v>
      </c>
      <c r="J71" s="5" t="s">
        <v>136</v>
      </c>
      <c r="K71">
        <v>4</v>
      </c>
      <c r="L71">
        <v>2</v>
      </c>
      <c r="M71">
        <v>10</v>
      </c>
      <c r="N71" s="5" t="s">
        <v>143</v>
      </c>
      <c r="O71" s="5" t="s">
        <v>94</v>
      </c>
    </row>
    <row r="72" spans="1:15">
      <c r="A72" s="5" t="s">
        <v>98</v>
      </c>
      <c r="B72">
        <v>88</v>
      </c>
      <c r="C72" s="5" t="s">
        <v>11</v>
      </c>
      <c r="D72" s="5" t="s">
        <v>22</v>
      </c>
      <c r="E72" s="6">
        <v>45390</v>
      </c>
      <c r="F72" s="6">
        <v>45392</v>
      </c>
      <c r="G72" s="5" t="s">
        <v>35</v>
      </c>
      <c r="H72" s="5" t="s">
        <v>139</v>
      </c>
      <c r="I72">
        <v>2024</v>
      </c>
      <c r="J72" s="5" t="s">
        <v>136</v>
      </c>
      <c r="K72">
        <v>4</v>
      </c>
      <c r="L72">
        <v>2</v>
      </c>
      <c r="M72">
        <v>2</v>
      </c>
      <c r="N72" s="5" t="s">
        <v>144</v>
      </c>
      <c r="O72" s="5" t="s">
        <v>94</v>
      </c>
    </row>
    <row r="73" spans="1:15">
      <c r="A73" s="5" t="s">
        <v>99</v>
      </c>
      <c r="B73">
        <v>61</v>
      </c>
      <c r="C73" s="5" t="s">
        <v>11</v>
      </c>
      <c r="D73" s="5" t="s">
        <v>15</v>
      </c>
      <c r="E73" s="6">
        <v>45421</v>
      </c>
      <c r="F73" s="6">
        <v>45425</v>
      </c>
      <c r="G73" s="5" t="s">
        <v>35</v>
      </c>
      <c r="H73" s="5" t="s">
        <v>139</v>
      </c>
      <c r="I73">
        <v>2024</v>
      </c>
      <c r="J73" s="5" t="s">
        <v>138</v>
      </c>
      <c r="K73">
        <v>5</v>
      </c>
      <c r="L73">
        <v>2</v>
      </c>
      <c r="M73">
        <v>4</v>
      </c>
      <c r="N73" s="5" t="s">
        <v>142</v>
      </c>
      <c r="O73" s="5" t="s">
        <v>94</v>
      </c>
    </row>
    <row r="74" spans="1:15">
      <c r="A74" s="5" t="s">
        <v>100</v>
      </c>
      <c r="B74">
        <v>37</v>
      </c>
      <c r="C74" s="5" t="s">
        <v>11</v>
      </c>
      <c r="D74" s="5" t="s">
        <v>22</v>
      </c>
      <c r="E74" s="6">
        <v>45390</v>
      </c>
      <c r="F74" s="6">
        <v>45392</v>
      </c>
      <c r="G74" s="5" t="s">
        <v>25</v>
      </c>
      <c r="H74" s="5" t="s">
        <v>135</v>
      </c>
      <c r="I74">
        <v>2024</v>
      </c>
      <c r="J74" s="5" t="s">
        <v>136</v>
      </c>
      <c r="K74">
        <v>4</v>
      </c>
      <c r="L74">
        <v>2</v>
      </c>
      <c r="M74">
        <v>2</v>
      </c>
      <c r="N74" s="5" t="s">
        <v>144</v>
      </c>
      <c r="O74" s="5" t="s">
        <v>94</v>
      </c>
    </row>
    <row r="75" spans="1:15">
      <c r="A75" s="5" t="s">
        <v>101</v>
      </c>
      <c r="B75">
        <v>43</v>
      </c>
      <c r="C75" s="5" t="s">
        <v>21</v>
      </c>
      <c r="D75" s="5" t="s">
        <v>12</v>
      </c>
      <c r="E75" s="6">
        <v>45426</v>
      </c>
      <c r="F75" s="6">
        <v>45438</v>
      </c>
      <c r="G75" s="5" t="s">
        <v>13</v>
      </c>
      <c r="H75" s="5" t="s">
        <v>137</v>
      </c>
      <c r="I75">
        <v>2024</v>
      </c>
      <c r="J75" s="5" t="s">
        <v>138</v>
      </c>
      <c r="K75">
        <v>5</v>
      </c>
      <c r="L75">
        <v>2</v>
      </c>
      <c r="M75">
        <v>12</v>
      </c>
      <c r="N75" s="5" t="s">
        <v>143</v>
      </c>
      <c r="O75" s="5" t="s">
        <v>94</v>
      </c>
    </row>
    <row r="76" spans="1:15">
      <c r="A76" s="5" t="s">
        <v>102</v>
      </c>
      <c r="B76">
        <v>70</v>
      </c>
      <c r="C76" s="5" t="s">
        <v>21</v>
      </c>
      <c r="D76" s="5" t="s">
        <v>12</v>
      </c>
      <c r="E76" s="6">
        <v>45415</v>
      </c>
      <c r="F76" s="6">
        <v>45420</v>
      </c>
      <c r="G76" s="5" t="s">
        <v>35</v>
      </c>
      <c r="H76" s="5" t="s">
        <v>139</v>
      </c>
      <c r="I76">
        <v>2024</v>
      </c>
      <c r="J76" s="5" t="s">
        <v>138</v>
      </c>
      <c r="K76">
        <v>5</v>
      </c>
      <c r="L76">
        <v>2</v>
      </c>
      <c r="M76">
        <v>5</v>
      </c>
      <c r="N76" s="5" t="s">
        <v>142</v>
      </c>
      <c r="O76" s="5" t="s">
        <v>94</v>
      </c>
    </row>
    <row r="77" spans="1:15">
      <c r="A77" s="5" t="s">
        <v>103</v>
      </c>
      <c r="B77">
        <v>60</v>
      </c>
      <c r="C77" s="5" t="s">
        <v>11</v>
      </c>
      <c r="D77" s="5" t="s">
        <v>24</v>
      </c>
      <c r="E77" s="6">
        <v>45401</v>
      </c>
      <c r="F77" s="6">
        <v>45410</v>
      </c>
      <c r="G77" s="5" t="s">
        <v>35</v>
      </c>
      <c r="H77" s="5" t="s">
        <v>139</v>
      </c>
      <c r="I77">
        <v>2024</v>
      </c>
      <c r="J77" s="5" t="s">
        <v>136</v>
      </c>
      <c r="K77">
        <v>4</v>
      </c>
      <c r="L77">
        <v>2</v>
      </c>
      <c r="M77">
        <v>9</v>
      </c>
      <c r="N77" s="5" t="s">
        <v>143</v>
      </c>
      <c r="O77" s="5" t="s">
        <v>94</v>
      </c>
    </row>
    <row r="78" spans="1:15">
      <c r="A78" s="5" t="s">
        <v>104</v>
      </c>
      <c r="B78">
        <v>67</v>
      </c>
      <c r="C78" s="5" t="s">
        <v>21</v>
      </c>
      <c r="D78" s="5" t="s">
        <v>12</v>
      </c>
      <c r="E78" s="6">
        <v>45395</v>
      </c>
      <c r="F78" s="6">
        <v>45407</v>
      </c>
      <c r="G78" s="5" t="s">
        <v>19</v>
      </c>
      <c r="H78" s="5" t="s">
        <v>139</v>
      </c>
      <c r="I78">
        <v>2024</v>
      </c>
      <c r="J78" s="5" t="s">
        <v>136</v>
      </c>
      <c r="K78">
        <v>4</v>
      </c>
      <c r="L78">
        <v>2</v>
      </c>
      <c r="M78">
        <v>12</v>
      </c>
      <c r="N78" s="5" t="s">
        <v>143</v>
      </c>
      <c r="O78" s="5" t="s">
        <v>94</v>
      </c>
    </row>
    <row r="79" spans="1:15">
      <c r="A79" s="5" t="s">
        <v>105</v>
      </c>
      <c r="B79">
        <v>18</v>
      </c>
      <c r="C79" s="5" t="s">
        <v>11</v>
      </c>
      <c r="D79" s="5" t="s">
        <v>12</v>
      </c>
      <c r="E79" s="6">
        <v>45392</v>
      </c>
      <c r="F79" s="6">
        <v>45403</v>
      </c>
      <c r="G79" s="5" t="s">
        <v>19</v>
      </c>
      <c r="H79" s="5" t="s">
        <v>135</v>
      </c>
      <c r="I79">
        <v>2024</v>
      </c>
      <c r="J79" s="5" t="s">
        <v>136</v>
      </c>
      <c r="K79">
        <v>4</v>
      </c>
      <c r="L79">
        <v>2</v>
      </c>
      <c r="M79">
        <v>11</v>
      </c>
      <c r="N79" s="5" t="s">
        <v>143</v>
      </c>
      <c r="O79" s="5" t="s">
        <v>94</v>
      </c>
    </row>
    <row r="80" spans="1:15">
      <c r="A80" s="5" t="s">
        <v>106</v>
      </c>
      <c r="B80">
        <v>84</v>
      </c>
      <c r="C80" s="5" t="s">
        <v>21</v>
      </c>
      <c r="D80" s="5" t="s">
        <v>18</v>
      </c>
      <c r="E80" s="6">
        <v>45394</v>
      </c>
      <c r="F80" s="6">
        <v>45407</v>
      </c>
      <c r="G80" s="5" t="s">
        <v>25</v>
      </c>
      <c r="H80" s="5" t="s">
        <v>139</v>
      </c>
      <c r="I80">
        <v>2024</v>
      </c>
      <c r="J80" s="5" t="s">
        <v>136</v>
      </c>
      <c r="K80">
        <v>4</v>
      </c>
      <c r="L80">
        <v>2</v>
      </c>
      <c r="M80">
        <v>13</v>
      </c>
      <c r="N80" s="5" t="s">
        <v>143</v>
      </c>
      <c r="O80" s="5" t="s">
        <v>94</v>
      </c>
    </row>
    <row r="81" spans="1:15">
      <c r="A81" s="5" t="s">
        <v>107</v>
      </c>
      <c r="B81">
        <v>78</v>
      </c>
      <c r="C81" s="5" t="s">
        <v>21</v>
      </c>
      <c r="D81" s="5" t="s">
        <v>22</v>
      </c>
      <c r="E81" s="6">
        <v>45440</v>
      </c>
      <c r="F81" s="6">
        <v>45443</v>
      </c>
      <c r="G81" s="5" t="s">
        <v>19</v>
      </c>
      <c r="H81" s="5" t="s">
        <v>139</v>
      </c>
      <c r="I81">
        <v>2024</v>
      </c>
      <c r="J81" s="5" t="s">
        <v>138</v>
      </c>
      <c r="K81">
        <v>5</v>
      </c>
      <c r="L81">
        <v>2</v>
      </c>
      <c r="M81">
        <v>3</v>
      </c>
      <c r="N81" s="5" t="s">
        <v>144</v>
      </c>
      <c r="O81" s="5" t="s">
        <v>94</v>
      </c>
    </row>
    <row r="82" spans="1:15">
      <c r="A82" s="5" t="s">
        <v>108</v>
      </c>
      <c r="B82">
        <v>45</v>
      </c>
      <c r="C82" s="5" t="s">
        <v>11</v>
      </c>
      <c r="D82" s="5" t="s">
        <v>12</v>
      </c>
      <c r="E82" s="6">
        <v>45427</v>
      </c>
      <c r="F82" s="6">
        <v>45430</v>
      </c>
      <c r="G82" s="5" t="s">
        <v>16</v>
      </c>
      <c r="H82" s="5" t="s">
        <v>137</v>
      </c>
      <c r="I82">
        <v>2024</v>
      </c>
      <c r="J82" s="5" t="s">
        <v>138</v>
      </c>
      <c r="K82">
        <v>5</v>
      </c>
      <c r="L82">
        <v>2</v>
      </c>
      <c r="M82">
        <v>3</v>
      </c>
      <c r="N82" s="5" t="s">
        <v>144</v>
      </c>
      <c r="O82" s="5" t="s">
        <v>94</v>
      </c>
    </row>
    <row r="83" spans="1:15">
      <c r="A83" s="5" t="s">
        <v>109</v>
      </c>
      <c r="B83">
        <v>28</v>
      </c>
      <c r="C83" s="5" t="s">
        <v>21</v>
      </c>
      <c r="D83" s="5" t="s">
        <v>15</v>
      </c>
      <c r="E83" s="6">
        <v>45417</v>
      </c>
      <c r="F83" s="6">
        <v>45419</v>
      </c>
      <c r="G83" s="5" t="s">
        <v>25</v>
      </c>
      <c r="H83" s="5" t="s">
        <v>135</v>
      </c>
      <c r="I83">
        <v>2024</v>
      </c>
      <c r="J83" s="5" t="s">
        <v>138</v>
      </c>
      <c r="K83">
        <v>5</v>
      </c>
      <c r="L83">
        <v>2</v>
      </c>
      <c r="M83">
        <v>2</v>
      </c>
      <c r="N83" s="5" t="s">
        <v>144</v>
      </c>
      <c r="O83" s="5" t="s">
        <v>110</v>
      </c>
    </row>
    <row r="84" spans="1:15">
      <c r="A84" s="5" t="s">
        <v>111</v>
      </c>
      <c r="B84">
        <v>52</v>
      </c>
      <c r="C84" s="5" t="s">
        <v>11</v>
      </c>
      <c r="D84" s="5" t="s">
        <v>15</v>
      </c>
      <c r="E84" s="6">
        <v>45393</v>
      </c>
      <c r="F84" s="6">
        <v>45401</v>
      </c>
      <c r="G84" s="5" t="s">
        <v>35</v>
      </c>
      <c r="H84" s="5" t="s">
        <v>137</v>
      </c>
      <c r="I84">
        <v>2024</v>
      </c>
      <c r="J84" s="5" t="s">
        <v>136</v>
      </c>
      <c r="K84">
        <v>4</v>
      </c>
      <c r="L84">
        <v>2</v>
      </c>
      <c r="M84">
        <v>8</v>
      </c>
      <c r="N84" s="5" t="s">
        <v>143</v>
      </c>
      <c r="O84" s="5" t="s">
        <v>110</v>
      </c>
    </row>
    <row r="85" spans="1:15">
      <c r="A85" s="5" t="s">
        <v>112</v>
      </c>
      <c r="B85">
        <v>36</v>
      </c>
      <c r="C85" s="5" t="s">
        <v>21</v>
      </c>
      <c r="D85" s="5" t="s">
        <v>24</v>
      </c>
      <c r="E85" s="6">
        <v>45408</v>
      </c>
      <c r="F85" s="6">
        <v>45419</v>
      </c>
      <c r="G85" s="5" t="s">
        <v>19</v>
      </c>
      <c r="H85" s="5" t="s">
        <v>135</v>
      </c>
      <c r="I85">
        <v>2024</v>
      </c>
      <c r="J85" s="5" t="s">
        <v>136</v>
      </c>
      <c r="K85">
        <v>4</v>
      </c>
      <c r="L85">
        <v>2</v>
      </c>
      <c r="M85">
        <v>11</v>
      </c>
      <c r="N85" s="5" t="s">
        <v>143</v>
      </c>
      <c r="O85" s="5" t="s">
        <v>110</v>
      </c>
    </row>
    <row r="86" spans="1:15">
      <c r="A86" s="5" t="s">
        <v>113</v>
      </c>
      <c r="B86">
        <v>12</v>
      </c>
      <c r="C86" s="5" t="s">
        <v>21</v>
      </c>
      <c r="D86" s="5" t="s">
        <v>18</v>
      </c>
      <c r="E86" s="6">
        <v>45390</v>
      </c>
      <c r="F86" s="6">
        <v>45395</v>
      </c>
      <c r="G86" s="5" t="s">
        <v>35</v>
      </c>
      <c r="H86" s="5" t="s">
        <v>140</v>
      </c>
      <c r="I86">
        <v>2024</v>
      </c>
      <c r="J86" s="5" t="s">
        <v>136</v>
      </c>
      <c r="K86">
        <v>4</v>
      </c>
      <c r="L86">
        <v>2</v>
      </c>
      <c r="M86">
        <v>5</v>
      </c>
      <c r="N86" s="5" t="s">
        <v>142</v>
      </c>
      <c r="O86" s="5" t="s">
        <v>110</v>
      </c>
    </row>
    <row r="87" spans="1:15">
      <c r="A87" s="5" t="s">
        <v>114</v>
      </c>
      <c r="B87">
        <v>88</v>
      </c>
      <c r="C87" s="5" t="s">
        <v>11</v>
      </c>
      <c r="D87" s="5" t="s">
        <v>22</v>
      </c>
      <c r="E87" s="6">
        <v>45391</v>
      </c>
      <c r="F87" s="6">
        <v>45402</v>
      </c>
      <c r="G87" s="5" t="s">
        <v>25</v>
      </c>
      <c r="H87" s="5" t="s">
        <v>139</v>
      </c>
      <c r="I87">
        <v>2024</v>
      </c>
      <c r="J87" s="5" t="s">
        <v>136</v>
      </c>
      <c r="K87">
        <v>4</v>
      </c>
      <c r="L87">
        <v>2</v>
      </c>
      <c r="M87">
        <v>11</v>
      </c>
      <c r="N87" s="5" t="s">
        <v>143</v>
      </c>
      <c r="O87" s="5" t="s">
        <v>110</v>
      </c>
    </row>
    <row r="88" spans="1:15">
      <c r="A88" s="5" t="s">
        <v>115</v>
      </c>
      <c r="B88">
        <v>45</v>
      </c>
      <c r="C88" s="5" t="s">
        <v>11</v>
      </c>
      <c r="D88" s="5" t="s">
        <v>15</v>
      </c>
      <c r="E88" s="6">
        <v>45438</v>
      </c>
      <c r="F88" s="6">
        <v>45448</v>
      </c>
      <c r="G88" s="5" t="s">
        <v>35</v>
      </c>
      <c r="H88" s="5" t="s">
        <v>137</v>
      </c>
      <c r="I88">
        <v>2024</v>
      </c>
      <c r="J88" s="5" t="s">
        <v>138</v>
      </c>
      <c r="K88">
        <v>5</v>
      </c>
      <c r="L88">
        <v>2</v>
      </c>
      <c r="M88">
        <v>10</v>
      </c>
      <c r="N88" s="5" t="s">
        <v>143</v>
      </c>
      <c r="O88" s="5" t="s">
        <v>110</v>
      </c>
    </row>
    <row r="89" spans="1:15">
      <c r="A89" s="5" t="s">
        <v>116</v>
      </c>
      <c r="B89">
        <v>45</v>
      </c>
      <c r="C89" s="5" t="s">
        <v>11</v>
      </c>
      <c r="D89" s="5" t="s">
        <v>15</v>
      </c>
      <c r="E89" s="6">
        <v>45400</v>
      </c>
      <c r="F89" s="6">
        <v>45411</v>
      </c>
      <c r="G89" s="5" t="s">
        <v>25</v>
      </c>
      <c r="H89" s="5" t="s">
        <v>137</v>
      </c>
      <c r="I89">
        <v>2024</v>
      </c>
      <c r="J89" s="5" t="s">
        <v>136</v>
      </c>
      <c r="K89">
        <v>4</v>
      </c>
      <c r="L89">
        <v>2</v>
      </c>
      <c r="M89">
        <v>11</v>
      </c>
      <c r="N89" s="5" t="s">
        <v>143</v>
      </c>
      <c r="O89" s="5" t="s">
        <v>110</v>
      </c>
    </row>
    <row r="90" spans="1:15">
      <c r="A90" s="5" t="s">
        <v>117</v>
      </c>
      <c r="B90">
        <v>63</v>
      </c>
      <c r="C90" s="5" t="s">
        <v>21</v>
      </c>
      <c r="D90" s="5" t="s">
        <v>12</v>
      </c>
      <c r="E90" s="6">
        <v>45389</v>
      </c>
      <c r="F90" s="6">
        <v>45400</v>
      </c>
      <c r="G90" s="5" t="s">
        <v>16</v>
      </c>
      <c r="H90" s="5" t="s">
        <v>139</v>
      </c>
      <c r="I90">
        <v>2024</v>
      </c>
      <c r="J90" s="5" t="s">
        <v>136</v>
      </c>
      <c r="K90">
        <v>4</v>
      </c>
      <c r="L90">
        <v>2</v>
      </c>
      <c r="M90">
        <v>11</v>
      </c>
      <c r="N90" s="5" t="s">
        <v>143</v>
      </c>
      <c r="O90" s="5" t="s">
        <v>110</v>
      </c>
    </row>
    <row r="91" spans="1:15">
      <c r="A91" s="5" t="s">
        <v>118</v>
      </c>
      <c r="B91">
        <v>41</v>
      </c>
      <c r="C91" s="5" t="s">
        <v>21</v>
      </c>
      <c r="D91" s="5" t="s">
        <v>12</v>
      </c>
      <c r="E91" s="6">
        <v>45411</v>
      </c>
      <c r="F91" s="6">
        <v>45414</v>
      </c>
      <c r="G91" s="5" t="s">
        <v>19</v>
      </c>
      <c r="H91" s="5" t="s">
        <v>137</v>
      </c>
      <c r="I91">
        <v>2024</v>
      </c>
      <c r="J91" s="5" t="s">
        <v>136</v>
      </c>
      <c r="K91">
        <v>4</v>
      </c>
      <c r="L91">
        <v>2</v>
      </c>
      <c r="M91">
        <v>3</v>
      </c>
      <c r="N91" s="5" t="s">
        <v>144</v>
      </c>
      <c r="O91" s="5" t="s">
        <v>110</v>
      </c>
    </row>
    <row r="92" spans="1:15">
      <c r="A92" s="5" t="s">
        <v>119</v>
      </c>
      <c r="B92">
        <v>88</v>
      </c>
      <c r="C92" s="5" t="s">
        <v>11</v>
      </c>
      <c r="D92" s="5" t="s">
        <v>18</v>
      </c>
      <c r="E92" s="6">
        <v>45438</v>
      </c>
      <c r="F92" s="6">
        <v>45440</v>
      </c>
      <c r="G92" s="5" t="s">
        <v>25</v>
      </c>
      <c r="H92" s="5" t="s">
        <v>139</v>
      </c>
      <c r="I92">
        <v>2024</v>
      </c>
      <c r="J92" s="5" t="s">
        <v>138</v>
      </c>
      <c r="K92">
        <v>5</v>
      </c>
      <c r="L92">
        <v>2</v>
      </c>
      <c r="M92">
        <v>2</v>
      </c>
      <c r="N92" s="5" t="s">
        <v>144</v>
      </c>
      <c r="O92" s="5" t="s">
        <v>110</v>
      </c>
    </row>
    <row r="93" spans="1:15">
      <c r="A93" s="5" t="s">
        <v>120</v>
      </c>
      <c r="B93">
        <v>25</v>
      </c>
      <c r="C93" s="5" t="s">
        <v>11</v>
      </c>
      <c r="D93" s="5" t="s">
        <v>12</v>
      </c>
      <c r="E93" s="6">
        <v>45413</v>
      </c>
      <c r="F93" s="6">
        <v>45417</v>
      </c>
      <c r="G93" s="5" t="s">
        <v>13</v>
      </c>
      <c r="H93" s="5" t="s">
        <v>135</v>
      </c>
      <c r="I93">
        <v>2024</v>
      </c>
      <c r="J93" s="5" t="s">
        <v>138</v>
      </c>
      <c r="K93">
        <v>5</v>
      </c>
      <c r="L93">
        <v>2</v>
      </c>
      <c r="M93">
        <v>4</v>
      </c>
      <c r="N93" s="5" t="s">
        <v>142</v>
      </c>
      <c r="O93" s="5" t="s">
        <v>110</v>
      </c>
    </row>
    <row r="94" spans="1:15">
      <c r="A94" s="5" t="s">
        <v>121</v>
      </c>
      <c r="B94">
        <v>54</v>
      </c>
      <c r="C94" s="5" t="s">
        <v>21</v>
      </c>
      <c r="D94" s="5" t="s">
        <v>15</v>
      </c>
      <c r="E94" s="6">
        <v>45407</v>
      </c>
      <c r="F94" s="6">
        <v>45412</v>
      </c>
      <c r="G94" s="5" t="s">
        <v>25</v>
      </c>
      <c r="H94" s="5" t="s">
        <v>137</v>
      </c>
      <c r="I94">
        <v>2024</v>
      </c>
      <c r="J94" s="5" t="s">
        <v>136</v>
      </c>
      <c r="K94">
        <v>4</v>
      </c>
      <c r="L94">
        <v>2</v>
      </c>
      <c r="M94">
        <v>5</v>
      </c>
      <c r="N94" s="5" t="s">
        <v>142</v>
      </c>
      <c r="O94" s="5" t="s">
        <v>110</v>
      </c>
    </row>
    <row r="95" spans="1:15">
      <c r="A95" s="5" t="s">
        <v>122</v>
      </c>
      <c r="B95">
        <v>37</v>
      </c>
      <c r="C95" s="5" t="s">
        <v>11</v>
      </c>
      <c r="D95" s="5" t="s">
        <v>22</v>
      </c>
      <c r="E95" s="6">
        <v>45425</v>
      </c>
      <c r="F95" s="6">
        <v>45437</v>
      </c>
      <c r="G95" s="5" t="s">
        <v>19</v>
      </c>
      <c r="H95" s="5" t="s">
        <v>135</v>
      </c>
      <c r="I95">
        <v>2024</v>
      </c>
      <c r="J95" s="5" t="s">
        <v>138</v>
      </c>
      <c r="K95">
        <v>5</v>
      </c>
      <c r="L95">
        <v>2</v>
      </c>
      <c r="M95">
        <v>12</v>
      </c>
      <c r="N95" s="5" t="s">
        <v>143</v>
      </c>
      <c r="O95" s="5" t="s">
        <v>110</v>
      </c>
    </row>
    <row r="96" spans="1:15">
      <c r="A96" s="5" t="s">
        <v>123</v>
      </c>
      <c r="B96">
        <v>87</v>
      </c>
      <c r="C96" s="5" t="s">
        <v>21</v>
      </c>
      <c r="D96" s="5" t="s">
        <v>30</v>
      </c>
      <c r="E96" s="6">
        <v>45401</v>
      </c>
      <c r="F96" s="6">
        <v>45404</v>
      </c>
      <c r="G96" s="5" t="s">
        <v>25</v>
      </c>
      <c r="H96" s="5" t="s">
        <v>139</v>
      </c>
      <c r="I96">
        <v>2024</v>
      </c>
      <c r="J96" s="5" t="s">
        <v>136</v>
      </c>
      <c r="K96">
        <v>4</v>
      </c>
      <c r="L96">
        <v>2</v>
      </c>
      <c r="M96">
        <v>3</v>
      </c>
      <c r="N96" s="5" t="s">
        <v>144</v>
      </c>
      <c r="O96" s="5" t="s">
        <v>110</v>
      </c>
    </row>
    <row r="97" spans="1:15">
      <c r="A97" s="5" t="s">
        <v>124</v>
      </c>
      <c r="B97">
        <v>88</v>
      </c>
      <c r="C97" s="5" t="s">
        <v>21</v>
      </c>
      <c r="D97" s="5" t="s">
        <v>30</v>
      </c>
      <c r="E97" s="6">
        <v>45393</v>
      </c>
      <c r="F97" s="6">
        <v>45405</v>
      </c>
      <c r="G97" s="5" t="s">
        <v>13</v>
      </c>
      <c r="H97" s="5" t="s">
        <v>139</v>
      </c>
      <c r="I97">
        <v>2024</v>
      </c>
      <c r="J97" s="5" t="s">
        <v>136</v>
      </c>
      <c r="K97">
        <v>4</v>
      </c>
      <c r="L97">
        <v>2</v>
      </c>
      <c r="M97">
        <v>12</v>
      </c>
      <c r="N97" s="5" t="s">
        <v>143</v>
      </c>
      <c r="O97" s="5" t="s">
        <v>110</v>
      </c>
    </row>
    <row r="98" spans="1:15">
      <c r="A98" s="5" t="s">
        <v>125</v>
      </c>
      <c r="B98">
        <v>34</v>
      </c>
      <c r="C98" s="5" t="s">
        <v>11</v>
      </c>
      <c r="D98" s="5" t="s">
        <v>22</v>
      </c>
      <c r="E98" s="6">
        <v>45418</v>
      </c>
      <c r="F98" s="6">
        <v>45421</v>
      </c>
      <c r="G98" s="5" t="s">
        <v>35</v>
      </c>
      <c r="H98" s="5" t="s">
        <v>135</v>
      </c>
      <c r="I98">
        <v>2024</v>
      </c>
      <c r="J98" s="5" t="s">
        <v>138</v>
      </c>
      <c r="K98">
        <v>5</v>
      </c>
      <c r="L98">
        <v>2</v>
      </c>
      <c r="M98">
        <v>3</v>
      </c>
      <c r="N98" s="5" t="s">
        <v>144</v>
      </c>
      <c r="O98" s="5" t="s">
        <v>110</v>
      </c>
    </row>
    <row r="99" spans="1:15">
      <c r="A99" s="5" t="s">
        <v>126</v>
      </c>
      <c r="B99">
        <v>49</v>
      </c>
      <c r="C99" s="5" t="s">
        <v>21</v>
      </c>
      <c r="D99" s="5" t="s">
        <v>24</v>
      </c>
      <c r="E99" s="6">
        <v>45430</v>
      </c>
      <c r="F99" s="6">
        <v>45436</v>
      </c>
      <c r="G99" s="5" t="s">
        <v>13</v>
      </c>
      <c r="H99" s="5" t="s">
        <v>137</v>
      </c>
      <c r="I99">
        <v>2024</v>
      </c>
      <c r="J99" s="5" t="s">
        <v>138</v>
      </c>
      <c r="K99">
        <v>5</v>
      </c>
      <c r="L99">
        <v>2</v>
      </c>
      <c r="M99">
        <v>6</v>
      </c>
      <c r="N99" s="5" t="s">
        <v>142</v>
      </c>
      <c r="O99" s="5" t="s">
        <v>110</v>
      </c>
    </row>
    <row r="100" spans="1:15">
      <c r="A100" s="5" t="s">
        <v>127</v>
      </c>
      <c r="B100">
        <v>71</v>
      </c>
      <c r="C100" s="5" t="s">
        <v>11</v>
      </c>
      <c r="D100" s="5" t="s">
        <v>24</v>
      </c>
      <c r="E100" s="6">
        <v>45404</v>
      </c>
      <c r="F100" s="6">
        <v>45413</v>
      </c>
      <c r="G100" s="5" t="s">
        <v>16</v>
      </c>
      <c r="H100" s="5" t="s">
        <v>139</v>
      </c>
      <c r="I100">
        <v>2024</v>
      </c>
      <c r="J100" s="5" t="s">
        <v>136</v>
      </c>
      <c r="K100">
        <v>4</v>
      </c>
      <c r="L100">
        <v>2</v>
      </c>
      <c r="M100">
        <v>9</v>
      </c>
      <c r="N100" s="5" t="s">
        <v>143</v>
      </c>
      <c r="O100" s="5" t="s">
        <v>110</v>
      </c>
    </row>
    <row r="101" spans="1:15">
      <c r="A101" s="5" t="s">
        <v>128</v>
      </c>
      <c r="B101">
        <v>61</v>
      </c>
      <c r="C101" s="5" t="s">
        <v>21</v>
      </c>
      <c r="D101" s="5" t="s">
        <v>15</v>
      </c>
      <c r="E101" s="6">
        <v>45414</v>
      </c>
      <c r="F101" s="6">
        <v>45415</v>
      </c>
      <c r="G101" s="5" t="s">
        <v>19</v>
      </c>
      <c r="H101" s="5" t="s">
        <v>139</v>
      </c>
      <c r="I101">
        <v>2024</v>
      </c>
      <c r="J101" s="5" t="s">
        <v>138</v>
      </c>
      <c r="K101">
        <v>5</v>
      </c>
      <c r="L101">
        <v>2</v>
      </c>
      <c r="M101">
        <v>1</v>
      </c>
      <c r="N101" s="5" t="s">
        <v>144</v>
      </c>
      <c r="O101" s="5" t="s">
        <v>110</v>
      </c>
    </row>
  </sheetData>
  <phoneticPr fontId="3"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B927C-9F8A-494F-8C5E-566038BDD345}">
  <sheetPr codeName="Sheet3"/>
  <dimension ref="A3:AA27"/>
  <sheetViews>
    <sheetView topLeftCell="N1" zoomScaleNormal="100" workbookViewId="0">
      <selection activeCell="P4" sqref="P4"/>
    </sheetView>
  </sheetViews>
  <sheetFormatPr defaultRowHeight="12.5"/>
  <cols>
    <col min="1" max="1" width="15.36328125" bestFit="1" customWidth="1"/>
    <col min="2" max="2" width="15.7265625" bestFit="1" customWidth="1"/>
    <col min="3" max="3" width="15.90625" bestFit="1" customWidth="1"/>
    <col min="4" max="4" width="13" bestFit="1" customWidth="1"/>
    <col min="5" max="5" width="15.7265625" bestFit="1" customWidth="1"/>
    <col min="6" max="6" width="4.90625" customWidth="1"/>
    <col min="7" max="7" width="13.36328125" bestFit="1" customWidth="1"/>
    <col min="8" max="8" width="15.7265625" bestFit="1" customWidth="1"/>
    <col min="9" max="9" width="5.08984375" customWidth="1"/>
    <col min="10" max="10" width="13" bestFit="1" customWidth="1"/>
    <col min="11" max="11" width="15.7265625" bestFit="1" customWidth="1"/>
    <col min="12" max="12" width="5" customWidth="1"/>
    <col min="13" max="13" width="13" bestFit="1" customWidth="1"/>
    <col min="14" max="14" width="15.7265625" bestFit="1" customWidth="1"/>
    <col min="15" max="15" width="6.1796875" customWidth="1"/>
    <col min="16" max="16" width="13" bestFit="1" customWidth="1"/>
    <col min="17" max="17" width="19.08984375" style="9" bestFit="1" customWidth="1"/>
    <col min="18" max="18" width="6.7265625" customWidth="1"/>
    <col min="19" max="19" width="19.08984375" style="10" bestFit="1" customWidth="1"/>
    <col min="20" max="20" width="5.90625" customWidth="1"/>
    <col min="21" max="21" width="15.36328125" bestFit="1" customWidth="1"/>
    <col min="22" max="22" width="5" customWidth="1"/>
    <col min="23" max="23" width="20.6328125" bestFit="1" customWidth="1"/>
    <col min="24" max="24" width="3.7265625" customWidth="1"/>
    <col min="25" max="25" width="13" bestFit="1" customWidth="1"/>
    <col min="26" max="26" width="4.08984375" customWidth="1"/>
    <col min="27" max="27" width="13.36328125" bestFit="1" customWidth="1"/>
    <col min="28" max="28" width="4.7265625" customWidth="1"/>
    <col min="29" max="29" width="7.1796875" bestFit="1" customWidth="1"/>
    <col min="30" max="30" width="6.26953125" bestFit="1" customWidth="1"/>
    <col min="31" max="100" width="15.90625" bestFit="1" customWidth="1"/>
    <col min="101" max="101" width="11.08984375" bestFit="1" customWidth="1"/>
  </cols>
  <sheetData>
    <row r="3" spans="1:27">
      <c r="A3" s="7" t="s">
        <v>145</v>
      </c>
      <c r="B3" t="s">
        <v>148</v>
      </c>
      <c r="D3" s="7" t="s">
        <v>145</v>
      </c>
      <c r="E3" t="s">
        <v>148</v>
      </c>
      <c r="G3" s="7" t="s">
        <v>145</v>
      </c>
      <c r="H3" t="s">
        <v>148</v>
      </c>
      <c r="J3" s="7" t="s">
        <v>145</v>
      </c>
      <c r="K3" t="s">
        <v>148</v>
      </c>
      <c r="M3" s="7" t="s">
        <v>145</v>
      </c>
      <c r="N3" t="s">
        <v>148</v>
      </c>
      <c r="P3" s="7" t="s">
        <v>145</v>
      </c>
      <c r="Q3" s="9" t="s">
        <v>149</v>
      </c>
      <c r="S3" s="10" t="s">
        <v>150</v>
      </c>
      <c r="U3" s="12" t="s">
        <v>145</v>
      </c>
      <c r="W3" s="11" t="s">
        <v>151</v>
      </c>
      <c r="Y3" s="12" t="s">
        <v>145</v>
      </c>
      <c r="AA3" s="12" t="s">
        <v>145</v>
      </c>
    </row>
    <row r="4" spans="1:27">
      <c r="A4" s="8" t="s">
        <v>79</v>
      </c>
      <c r="B4" s="5">
        <v>14</v>
      </c>
      <c r="D4" s="8" t="s">
        <v>18</v>
      </c>
      <c r="E4" s="5">
        <v>12</v>
      </c>
      <c r="G4" s="8" t="s">
        <v>13</v>
      </c>
      <c r="H4" s="5">
        <v>15</v>
      </c>
      <c r="J4" s="8" t="s">
        <v>140</v>
      </c>
      <c r="K4" s="5">
        <v>8</v>
      </c>
      <c r="M4" s="8" t="s">
        <v>136</v>
      </c>
      <c r="N4" s="5">
        <v>49</v>
      </c>
      <c r="P4" s="8" t="s">
        <v>30</v>
      </c>
      <c r="Q4" s="9">
        <v>5.2222222222222223</v>
      </c>
      <c r="S4" s="10">
        <v>100</v>
      </c>
      <c r="U4" s="13" t="s">
        <v>110</v>
      </c>
      <c r="W4" s="9">
        <v>51.79</v>
      </c>
      <c r="Y4" s="13" t="s">
        <v>24</v>
      </c>
      <c r="AA4" s="13" t="s">
        <v>13</v>
      </c>
    </row>
    <row r="5" spans="1:27">
      <c r="A5" s="8" t="s">
        <v>63</v>
      </c>
      <c r="B5" s="5">
        <v>15</v>
      </c>
      <c r="D5" s="8" t="s">
        <v>22</v>
      </c>
      <c r="E5" s="5">
        <v>15</v>
      </c>
      <c r="G5" s="8" t="s">
        <v>16</v>
      </c>
      <c r="H5" s="5">
        <v>19</v>
      </c>
      <c r="J5" s="8" t="s">
        <v>135</v>
      </c>
      <c r="K5" s="5">
        <v>25</v>
      </c>
      <c r="M5" s="8" t="s">
        <v>138</v>
      </c>
      <c r="N5" s="5">
        <v>51</v>
      </c>
      <c r="P5" s="8" t="s">
        <v>18</v>
      </c>
      <c r="Q5" s="9">
        <v>7.166666666666667</v>
      </c>
      <c r="U5" s="13" t="s">
        <v>94</v>
      </c>
      <c r="Y5" s="13" t="s">
        <v>30</v>
      </c>
      <c r="AA5" s="13" t="s">
        <v>25</v>
      </c>
    </row>
    <row r="6" spans="1:27">
      <c r="A6" s="8" t="s">
        <v>94</v>
      </c>
      <c r="B6" s="5">
        <v>15</v>
      </c>
      <c r="D6" s="8" t="s">
        <v>24</v>
      </c>
      <c r="E6" s="5">
        <v>16</v>
      </c>
      <c r="G6" s="8" t="s">
        <v>25</v>
      </c>
      <c r="H6" s="5">
        <v>20</v>
      </c>
      <c r="J6" s="8" t="s">
        <v>137</v>
      </c>
      <c r="K6" s="5">
        <v>26</v>
      </c>
      <c r="M6" s="8" t="s">
        <v>146</v>
      </c>
      <c r="N6" s="5">
        <v>100</v>
      </c>
      <c r="P6" s="8" t="s">
        <v>22</v>
      </c>
      <c r="Q6" s="9">
        <v>7.8666666666666663</v>
      </c>
      <c r="U6" s="13" t="s">
        <v>79</v>
      </c>
      <c r="Y6" s="13" t="s">
        <v>12</v>
      </c>
      <c r="AA6" s="13" t="s">
        <v>19</v>
      </c>
    </row>
    <row r="7" spans="1:27">
      <c r="A7" s="8" t="s">
        <v>10</v>
      </c>
      <c r="B7" s="5">
        <v>17</v>
      </c>
      <c r="D7" s="8" t="s">
        <v>30</v>
      </c>
      <c r="E7" s="5">
        <v>18</v>
      </c>
      <c r="G7" s="8" t="s">
        <v>35</v>
      </c>
      <c r="H7" s="5">
        <v>21</v>
      </c>
      <c r="J7" s="8" t="s">
        <v>139</v>
      </c>
      <c r="K7" s="5">
        <v>41</v>
      </c>
      <c r="P7" s="8" t="s">
        <v>24</v>
      </c>
      <c r="Q7" s="9">
        <v>8.1875</v>
      </c>
      <c r="U7" s="13" t="s">
        <v>63</v>
      </c>
      <c r="Y7" s="13" t="s">
        <v>18</v>
      </c>
      <c r="AA7" s="13" t="s">
        <v>35</v>
      </c>
    </row>
    <row r="8" spans="1:27">
      <c r="A8" s="8" t="s">
        <v>110</v>
      </c>
      <c r="B8" s="5">
        <v>19</v>
      </c>
      <c r="D8" s="8" t="s">
        <v>12</v>
      </c>
      <c r="E8" s="5">
        <v>19</v>
      </c>
      <c r="G8" s="8" t="s">
        <v>19</v>
      </c>
      <c r="H8" s="5">
        <v>25</v>
      </c>
      <c r="J8" s="8" t="s">
        <v>146</v>
      </c>
      <c r="K8" s="5">
        <v>100</v>
      </c>
      <c r="P8" s="8" t="s">
        <v>15</v>
      </c>
      <c r="Q8" s="9">
        <v>8.4499999999999993</v>
      </c>
      <c r="U8" s="13" t="s">
        <v>147</v>
      </c>
      <c r="Y8" s="13" t="s">
        <v>22</v>
      </c>
      <c r="AA8" s="13" t="s">
        <v>16</v>
      </c>
    </row>
    <row r="9" spans="1:27">
      <c r="A9" s="8" t="s">
        <v>147</v>
      </c>
      <c r="B9" s="5">
        <v>20</v>
      </c>
      <c r="D9" s="8" t="s">
        <v>15</v>
      </c>
      <c r="E9" s="5">
        <v>20</v>
      </c>
      <c r="G9" s="8" t="s">
        <v>146</v>
      </c>
      <c r="H9" s="5">
        <v>100</v>
      </c>
      <c r="P9" s="8" t="s">
        <v>12</v>
      </c>
      <c r="Q9" s="9">
        <v>8.526315789473685</v>
      </c>
      <c r="U9" s="13" t="s">
        <v>10</v>
      </c>
      <c r="Y9" s="13" t="s">
        <v>15</v>
      </c>
      <c r="AA9" s="13" t="s">
        <v>146</v>
      </c>
    </row>
    <row r="10" spans="1:27">
      <c r="A10" s="8" t="s">
        <v>146</v>
      </c>
      <c r="B10" s="5">
        <v>100</v>
      </c>
      <c r="D10" s="8" t="s">
        <v>146</v>
      </c>
      <c r="E10" s="5">
        <v>100</v>
      </c>
      <c r="P10" s="8" t="s">
        <v>146</v>
      </c>
      <c r="Q10" s="9">
        <v>7.6</v>
      </c>
      <c r="S10" s="11" t="s">
        <v>149</v>
      </c>
      <c r="U10" s="13" t="s">
        <v>146</v>
      </c>
      <c r="Y10" s="13" t="s">
        <v>146</v>
      </c>
    </row>
    <row r="11" spans="1:27">
      <c r="S11" s="9">
        <v>7.6</v>
      </c>
    </row>
    <row r="12" spans="1:27">
      <c r="S12" s="11"/>
      <c r="U12">
        <f>COUNTA(U4:U9)</f>
        <v>6</v>
      </c>
      <c r="Y12">
        <f>COUNTA(Y4:Y9)</f>
        <v>6</v>
      </c>
      <c r="AA12">
        <f>COUNTA(AA4:AA8)</f>
        <v>5</v>
      </c>
    </row>
    <row r="13" spans="1:27">
      <c r="S13"/>
    </row>
    <row r="14" spans="1:27">
      <c r="S14"/>
    </row>
    <row r="15" spans="1:27">
      <c r="S15"/>
    </row>
    <row r="16" spans="1:27">
      <c r="S16"/>
    </row>
    <row r="17" spans="19:19">
      <c r="S17"/>
    </row>
    <row r="18" spans="19:19">
      <c r="S18"/>
    </row>
    <row r="19" spans="19:19">
      <c r="S19"/>
    </row>
    <row r="20" spans="19:19">
      <c r="S20"/>
    </row>
    <row r="21" spans="19:19">
      <c r="S21"/>
    </row>
    <row r="22" spans="19:19">
      <c r="S22"/>
    </row>
    <row r="23" spans="19:19">
      <c r="S23"/>
    </row>
    <row r="24" spans="19:19">
      <c r="S24"/>
    </row>
    <row r="25" spans="19:19">
      <c r="S25"/>
    </row>
    <row r="26" spans="19:19">
      <c r="S26"/>
    </row>
    <row r="27" spans="19:19">
      <c r="S27"/>
    </row>
  </sheetData>
  <pageMargins left="0.7" right="0.7" top="0.75" bottom="0.75" header="0.3" footer="0.3"/>
  <drawing r:id="rId1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5AD805-E01A-40D7-8450-6307FDCD3874}">
  <sheetPr codeName="Sheet4"/>
  <dimension ref="A1"/>
  <sheetViews>
    <sheetView showGridLines="0" showRowColHeaders="0" tabSelected="1" zoomScale="70" zoomScaleNormal="70" workbookViewId="0">
      <selection activeCell="V13" sqref="V13"/>
    </sheetView>
  </sheetViews>
  <sheetFormatPr defaultRowHeight="12.5"/>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D0F98E9-3F3A-4141-8530-617127CAAD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Admissions</vt:lpstr>
      <vt:lpstr>Fact_Admission</vt:lpstr>
      <vt:lpstr>Analysis</vt:lpstr>
      <vt:lpstr>HA 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Keffi Tech</dc:creator>
  <cp:lastModifiedBy>KEFFI TECH HUB</cp:lastModifiedBy>
  <dcterms:created xsi:type="dcterms:W3CDTF">2026-08-16T11:52:53Z</dcterms:created>
  <dcterms:modified xsi:type="dcterms:W3CDTF">2026-08-16T13:03:31Z</dcterms:modified>
</cp:coreProperties>
</file>